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KSH PATEL\Downloads\"/>
    </mc:Choice>
  </mc:AlternateContent>
  <xr:revisionPtr revIDLastSave="0" documentId="13_ncr:1_{C6DA019F-598E-43AF-A052-A6C2DFA40F1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ata_Yearly" sheetId="2" r:id="rId2"/>
    <sheet name="Data_Summary" sheetId="3" r:id="rId3"/>
    <sheet name="Forecast" sheetId="4" r:id="rId4"/>
  </sheets>
  <definedNames>
    <definedName name="_xlnm.Print_Area" localSheetId="0">Dashboard!$A$1:$T$71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8" i="4" l="1"/>
  <c r="A79" i="4" s="1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B54" i="4"/>
  <c r="A54" i="4"/>
  <c r="A53" i="4"/>
  <c r="B52" i="4"/>
  <c r="A52" i="4"/>
  <c r="B51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B38" i="4"/>
  <c r="A38" i="4"/>
  <c r="A37" i="4"/>
  <c r="B36" i="4"/>
  <c r="A36" i="4"/>
  <c r="B35" i="4"/>
  <c r="A35" i="4"/>
  <c r="A34" i="4"/>
  <c r="B33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B17" i="4"/>
  <c r="A17" i="4"/>
  <c r="A16" i="4"/>
  <c r="A15" i="4"/>
  <c r="B14" i="4"/>
  <c r="A14" i="4"/>
  <c r="B13" i="4"/>
  <c r="A13" i="4"/>
  <c r="B12" i="4"/>
  <c r="A12" i="4"/>
  <c r="B11" i="4"/>
  <c r="A11" i="4"/>
  <c r="A10" i="4"/>
  <c r="A9" i="4"/>
  <c r="A8" i="4"/>
  <c r="G7" i="4"/>
  <c r="B7" i="4"/>
  <c r="A7" i="4"/>
  <c r="G6" i="4"/>
  <c r="A6" i="4"/>
  <c r="A5" i="4"/>
  <c r="C45" i="3"/>
  <c r="C38" i="3"/>
  <c r="C37" i="3"/>
  <c r="C26" i="3"/>
  <c r="C25" i="3"/>
  <c r="C15" i="3"/>
  <c r="C14" i="3"/>
  <c r="B7" i="3"/>
  <c r="C40" i="3" s="1"/>
  <c r="C79" i="2"/>
  <c r="B79" i="2"/>
  <c r="D78" i="2"/>
  <c r="B78" i="4" s="1"/>
  <c r="D77" i="2"/>
  <c r="B77" i="4" s="1"/>
  <c r="D76" i="2"/>
  <c r="B76" i="4" s="1"/>
  <c r="D75" i="2"/>
  <c r="D74" i="2"/>
  <c r="D73" i="2"/>
  <c r="B73" i="4" s="1"/>
  <c r="D72" i="2"/>
  <c r="B72" i="4" s="1"/>
  <c r="D71" i="2"/>
  <c r="B71" i="4" s="1"/>
  <c r="D70" i="2"/>
  <c r="B70" i="4" s="1"/>
  <c r="D69" i="2"/>
  <c r="B69" i="4" s="1"/>
  <c r="D68" i="2"/>
  <c r="B68" i="4" s="1"/>
  <c r="D67" i="2"/>
  <c r="D66" i="2"/>
  <c r="D65" i="2"/>
  <c r="B65" i="4" s="1"/>
  <c r="D64" i="2"/>
  <c r="B64" i="4" s="1"/>
  <c r="D63" i="2"/>
  <c r="B63" i="4" s="1"/>
  <c r="D62" i="2"/>
  <c r="B62" i="4" s="1"/>
  <c r="D61" i="2"/>
  <c r="B61" i="4" s="1"/>
  <c r="D60" i="2"/>
  <c r="B60" i="4" s="1"/>
  <c r="D59" i="2"/>
  <c r="B59" i="4" s="1"/>
  <c r="D58" i="2"/>
  <c r="B58" i="4" s="1"/>
  <c r="D57" i="2"/>
  <c r="B57" i="4" s="1"/>
  <c r="D56" i="2"/>
  <c r="B56" i="4" s="1"/>
  <c r="D55" i="2"/>
  <c r="D54" i="2"/>
  <c r="D53" i="2"/>
  <c r="B53" i="4" s="1"/>
  <c r="D52" i="2"/>
  <c r="D51" i="2"/>
  <c r="D50" i="2"/>
  <c r="D49" i="2"/>
  <c r="B49" i="4" s="1"/>
  <c r="D48" i="2"/>
  <c r="B48" i="4" s="1"/>
  <c r="D47" i="2"/>
  <c r="B47" i="4" s="1"/>
  <c r="D46" i="2"/>
  <c r="B46" i="4" s="1"/>
  <c r="D45" i="2"/>
  <c r="B45" i="4" s="1"/>
  <c r="D44" i="2"/>
  <c r="B44" i="4" s="1"/>
  <c r="D43" i="2"/>
  <c r="B43" i="4" s="1"/>
  <c r="D42" i="2"/>
  <c r="B42" i="4" s="1"/>
  <c r="D41" i="2"/>
  <c r="B41" i="4" s="1"/>
  <c r="D40" i="2"/>
  <c r="B40" i="4" s="1"/>
  <c r="D39" i="2"/>
  <c r="D38" i="2"/>
  <c r="D37" i="2"/>
  <c r="B37" i="4" s="1"/>
  <c r="D36" i="2"/>
  <c r="D35" i="2"/>
  <c r="D34" i="2"/>
  <c r="D33" i="2"/>
  <c r="D32" i="2"/>
  <c r="B32" i="4" s="1"/>
  <c r="D31" i="2"/>
  <c r="B31" i="4" s="1"/>
  <c r="D30" i="2"/>
  <c r="B30" i="4" s="1"/>
  <c r="D29" i="2"/>
  <c r="B29" i="4" s="1"/>
  <c r="D28" i="2"/>
  <c r="B28" i="4" s="1"/>
  <c r="D27" i="2"/>
  <c r="B27" i="4" s="1"/>
  <c r="D26" i="2"/>
  <c r="B26" i="4" s="1"/>
  <c r="D25" i="2"/>
  <c r="D24" i="2"/>
  <c r="B24" i="4" s="1"/>
  <c r="D23" i="2"/>
  <c r="B23" i="4" s="1"/>
  <c r="D22" i="2"/>
  <c r="B22" i="4" s="1"/>
  <c r="D21" i="2"/>
  <c r="B21" i="4" s="1"/>
  <c r="D20" i="2"/>
  <c r="B20" i="4" s="1"/>
  <c r="D19" i="2"/>
  <c r="D18" i="2"/>
  <c r="D17" i="2"/>
  <c r="D16" i="2"/>
  <c r="B16" i="4" s="1"/>
  <c r="D15" i="2"/>
  <c r="B15" i="4" s="1"/>
  <c r="D14" i="2"/>
  <c r="D13" i="2"/>
  <c r="D12" i="2"/>
  <c r="D11" i="2"/>
  <c r="D10" i="2"/>
  <c r="B10" i="4" s="1"/>
  <c r="D9" i="2"/>
  <c r="B9" i="4" s="1"/>
  <c r="D8" i="2"/>
  <c r="B8" i="4" s="1"/>
  <c r="D7" i="2"/>
  <c r="D6" i="2"/>
  <c r="B6" i="4" s="1"/>
  <c r="D5" i="2"/>
  <c r="N8" i="1"/>
  <c r="K8" i="1"/>
  <c r="B8" i="1"/>
  <c r="Q6" i="1"/>
  <c r="N6" i="1"/>
  <c r="K6" i="1"/>
  <c r="H6" i="1"/>
  <c r="E6" i="1"/>
  <c r="E51" i="2" l="1"/>
  <c r="E11" i="2"/>
  <c r="A80" i="4"/>
  <c r="F20" i="4"/>
  <c r="C18" i="3"/>
  <c r="C41" i="3"/>
  <c r="B39" i="4"/>
  <c r="B55" i="4"/>
  <c r="E77" i="2"/>
  <c r="C16" i="3"/>
  <c r="C39" i="3"/>
  <c r="Q8" i="1" s="1"/>
  <c r="C19" i="3"/>
  <c r="C42" i="3"/>
  <c r="B34" i="4"/>
  <c r="B50" i="4"/>
  <c r="C24" i="3"/>
  <c r="C43" i="3"/>
  <c r="D79" i="2"/>
  <c r="E58" i="2" s="1"/>
  <c r="C44" i="3"/>
  <c r="B66" i="4"/>
  <c r="B74" i="4"/>
  <c r="C5" i="3"/>
  <c r="C27" i="3"/>
  <c r="C46" i="3"/>
  <c r="B25" i="4"/>
  <c r="C6" i="3"/>
  <c r="H8" i="1" s="1"/>
  <c r="C28" i="3"/>
  <c r="B18" i="4"/>
  <c r="C46" i="4" s="1"/>
  <c r="B67" i="4"/>
  <c r="B75" i="4"/>
  <c r="C30" i="3"/>
  <c r="B19" i="4"/>
  <c r="C29" i="3"/>
  <c r="B5" i="4"/>
  <c r="C16" i="4" s="1"/>
  <c r="C12" i="3"/>
  <c r="C32" i="3"/>
  <c r="C11" i="3"/>
  <c r="C31" i="3"/>
  <c r="B6" i="1"/>
  <c r="C13" i="3"/>
  <c r="C33" i="3"/>
  <c r="C17" i="3"/>
  <c r="C76" i="4" l="1"/>
  <c r="C77" i="4"/>
  <c r="E31" i="2"/>
  <c r="C47" i="4"/>
  <c r="E7" i="2"/>
  <c r="E5" i="2"/>
  <c r="C32" i="4"/>
  <c r="E15" i="2"/>
  <c r="C19" i="4"/>
  <c r="C25" i="4"/>
  <c r="C72" i="4"/>
  <c r="C33" i="4"/>
  <c r="C65" i="4"/>
  <c r="C62" i="4"/>
  <c r="C37" i="4"/>
  <c r="E76" i="2"/>
  <c r="E60" i="2"/>
  <c r="E52" i="2"/>
  <c r="E44" i="2"/>
  <c r="E36" i="2"/>
  <c r="E28" i="2"/>
  <c r="E20" i="2"/>
  <c r="E12" i="2"/>
  <c r="E72" i="2"/>
  <c r="E64" i="2"/>
  <c r="E48" i="2"/>
  <c r="E40" i="2"/>
  <c r="E32" i="2"/>
  <c r="E24" i="2"/>
  <c r="E16" i="2"/>
  <c r="E8" i="2"/>
  <c r="E68" i="2"/>
  <c r="E56" i="2"/>
  <c r="E78" i="2"/>
  <c r="E70" i="2"/>
  <c r="E62" i="2"/>
  <c r="E54" i="2"/>
  <c r="E46" i="2"/>
  <c r="E38" i="2"/>
  <c r="E30" i="2"/>
  <c r="E22" i="2"/>
  <c r="E14" i="2"/>
  <c r="E6" i="2"/>
  <c r="E69" i="2"/>
  <c r="C49" i="4"/>
  <c r="E66" i="2"/>
  <c r="C42" i="4"/>
  <c r="E35" i="2"/>
  <c r="E59" i="2"/>
  <c r="E57" i="2"/>
  <c r="E63" i="2"/>
  <c r="E37" i="2"/>
  <c r="E17" i="2"/>
  <c r="E55" i="2"/>
  <c r="C38" i="4"/>
  <c r="C20" i="4"/>
  <c r="G8" i="4"/>
  <c r="C54" i="4"/>
  <c r="C59" i="4"/>
  <c r="G10" i="4"/>
  <c r="C71" i="4"/>
  <c r="C52" i="4"/>
  <c r="C14" i="4"/>
  <c r="C5" i="4"/>
  <c r="C63" i="4"/>
  <c r="C22" i="4"/>
  <c r="C18" i="4"/>
  <c r="C9" i="4"/>
  <c r="C56" i="4"/>
  <c r="C40" i="4"/>
  <c r="C41" i="4"/>
  <c r="C75" i="4"/>
  <c r="C67" i="4"/>
  <c r="C36" i="4"/>
  <c r="G9" i="4"/>
  <c r="C57" i="4"/>
  <c r="C66" i="4"/>
  <c r="C70" i="4"/>
  <c r="C74" i="4"/>
  <c r="C61" i="4"/>
  <c r="C45" i="4"/>
  <c r="C29" i="4"/>
  <c r="C8" i="4"/>
  <c r="C17" i="4"/>
  <c r="C39" i="4"/>
  <c r="C24" i="4"/>
  <c r="C43" i="4"/>
  <c r="C55" i="4"/>
  <c r="E47" i="2"/>
  <c r="C60" i="4"/>
  <c r="E39" i="2"/>
  <c r="E41" i="2"/>
  <c r="C48" i="4"/>
  <c r="C35" i="4"/>
  <c r="C26" i="4"/>
  <c r="E42" i="2"/>
  <c r="E13" i="2"/>
  <c r="C12" i="4"/>
  <c r="E26" i="2"/>
  <c r="C15" i="4"/>
  <c r="C64" i="4"/>
  <c r="E74" i="2"/>
  <c r="E10" i="2"/>
  <c r="C28" i="4"/>
  <c r="C51" i="4"/>
  <c r="C53" i="4"/>
  <c r="C23" i="4"/>
  <c r="C27" i="4"/>
  <c r="E61" i="2"/>
  <c r="C21" i="4"/>
  <c r="E50" i="2"/>
  <c r="C6" i="4"/>
  <c r="E19" i="2"/>
  <c r="E43" i="2"/>
  <c r="E73" i="2"/>
  <c r="E53" i="2"/>
  <c r="C10" i="4"/>
  <c r="E34" i="2"/>
  <c r="E25" i="2"/>
  <c r="C50" i="4"/>
  <c r="E27" i="2"/>
  <c r="E65" i="2"/>
  <c r="E71" i="2"/>
  <c r="E45" i="2"/>
  <c r="E33" i="2"/>
  <c r="E18" i="2"/>
  <c r="C68" i="4"/>
  <c r="C11" i="4"/>
  <c r="E49" i="2"/>
  <c r="E29" i="2"/>
  <c r="C58" i="4"/>
  <c r="E21" i="2"/>
  <c r="C73" i="4"/>
  <c r="E9" i="2"/>
  <c r="E23" i="2"/>
  <c r="C34" i="4"/>
  <c r="C30" i="4"/>
  <c r="C7" i="3"/>
  <c r="E8" i="1"/>
  <c r="C44" i="4"/>
  <c r="C78" i="4"/>
  <c r="C7" i="4"/>
  <c r="C69" i="4"/>
  <c r="C79" i="4"/>
  <c r="G20" i="4" s="1"/>
  <c r="C31" i="4"/>
  <c r="A81" i="4"/>
  <c r="C80" i="4"/>
  <c r="G21" i="4" s="1"/>
  <c r="F21" i="4"/>
  <c r="E75" i="2"/>
  <c r="E67" i="2"/>
  <c r="C13" i="4"/>
  <c r="D76" i="4" l="1"/>
  <c r="D72" i="4"/>
  <c r="D68" i="4"/>
  <c r="D64" i="4"/>
  <c r="D75" i="4"/>
  <c r="D71" i="4"/>
  <c r="D67" i="4"/>
  <c r="D78" i="4"/>
  <c r="D74" i="4"/>
  <c r="D70" i="4"/>
  <c r="D66" i="4"/>
  <c r="D77" i="4"/>
  <c r="D73" i="4"/>
  <c r="D69" i="4"/>
  <c r="D65" i="4"/>
  <c r="E79" i="2"/>
  <c r="A82" i="4"/>
  <c r="C81" i="4"/>
  <c r="G22" i="4" s="1"/>
  <c r="F22" i="4"/>
  <c r="G15" i="4" l="1"/>
  <c r="G14" i="4"/>
  <c r="G16" i="4"/>
  <c r="F23" i="4"/>
  <c r="A83" i="4"/>
  <c r="C82" i="4"/>
  <c r="G23" i="4" s="1"/>
  <c r="C83" i="4" l="1"/>
  <c r="G24" i="4" s="1"/>
  <c r="F24" i="4"/>
</calcChain>
</file>

<file path=xl/sharedStrings.xml><?xml version="1.0" encoding="utf-8"?>
<sst xmlns="http://schemas.openxmlformats.org/spreadsheetml/2006/main" count="97" uniqueCount="87">
  <si>
    <t>NETFLIX CONTENT INSIGHTS DASHBOARD</t>
  </si>
  <si>
    <t>Auspify Data Science Internship  |  Task 6 – Business Insights  |  Netflix Titles Dataset (8,790 titles, release years 1925–2021)</t>
  </si>
  <si>
    <t>TOTAL TITLES</t>
  </si>
  <si>
    <t>MOVIES</t>
  </si>
  <si>
    <t>TV SHOWS</t>
  </si>
  <si>
    <t>RELEASE SPAN</t>
  </si>
  <si>
    <t>AVG MOVIE LENGTH</t>
  </si>
  <si>
    <t>MOST COMMON RATING</t>
  </si>
  <si>
    <t>Titles Released per Year</t>
  </si>
  <si>
    <t>Release Year</t>
  </si>
  <si>
    <t>Movies</t>
  </si>
  <si>
    <t>TV Shows</t>
  </si>
  <si>
    <t>Total Titles</t>
  </si>
  <si>
    <t>% of Catalog</t>
  </si>
  <si>
    <t>Total</t>
  </si>
  <si>
    <t>Catalog Summary Tables</t>
  </si>
  <si>
    <t>Content Type</t>
  </si>
  <si>
    <t>Type</t>
  </si>
  <si>
    <t>Titles</t>
  </si>
  <si>
    <t>Movie</t>
  </si>
  <si>
    <t>TV Show</t>
  </si>
  <si>
    <t>Top Countries (by title count)</t>
  </si>
  <si>
    <t>Country</t>
  </si>
  <si>
    <t>United States</t>
  </si>
  <si>
    <t>India</t>
  </si>
  <si>
    <t>United Kingdom</t>
  </si>
  <si>
    <t>Pakistan</t>
  </si>
  <si>
    <t>Canada</t>
  </si>
  <si>
    <t>Japan</t>
  </si>
  <si>
    <t>South Korea</t>
  </si>
  <si>
    <t>France</t>
  </si>
  <si>
    <t>Spain</t>
  </si>
  <si>
    <t>Top Genres (by title count)</t>
  </si>
  <si>
    <t>Genre</t>
  </si>
  <si>
    <t>International Movies</t>
  </si>
  <si>
    <t>Dramas</t>
  </si>
  <si>
    <t>Comedies</t>
  </si>
  <si>
    <t>International TV Shows</t>
  </si>
  <si>
    <t>Documentaries</t>
  </si>
  <si>
    <t>Action &amp; Adventure</t>
  </si>
  <si>
    <t>TV Dramas</t>
  </si>
  <si>
    <t>Independent Movies</t>
  </si>
  <si>
    <t>Children &amp; Family Movies</t>
  </si>
  <si>
    <t>Romantic Movies</t>
  </si>
  <si>
    <t>Content Ratings (Top 10)</t>
  </si>
  <si>
    <t>Rating</t>
  </si>
  <si>
    <t>TV-MA</t>
  </si>
  <si>
    <t>TV-14</t>
  </si>
  <si>
    <t>TV-PG</t>
  </si>
  <si>
    <t>R</t>
  </si>
  <si>
    <t>PG-13</t>
  </si>
  <si>
    <t>TV-Y7</t>
  </si>
  <si>
    <t>TV-Y</t>
  </si>
  <si>
    <t>PG</t>
  </si>
  <si>
    <t>TV-G</t>
  </si>
  <si>
    <t>NR</t>
  </si>
  <si>
    <t>Movie Duration (minutes, n = 6,126 movies)</t>
  </si>
  <si>
    <t>Statistic</t>
  </si>
  <si>
    <t>Minutes</t>
  </si>
  <si>
    <t>Mean</t>
  </si>
  <si>
    <t>Std. Deviation</t>
  </si>
  <si>
    <t>Minimum</t>
  </si>
  <si>
    <t>25th Percentile</t>
  </si>
  <si>
    <t>Median</t>
  </si>
  <si>
    <t>75th Percentile</t>
  </si>
  <si>
    <t>Maximum</t>
  </si>
  <si>
    <t>Trend Forecast – Linear Regression</t>
  </si>
  <si>
    <t>Replicates Task 4: 80/20 time-ordered split for evaluation; model refit on all years for the 2022–2026 forecast.</t>
  </si>
  <si>
    <t>Year</t>
  </si>
  <si>
    <t>Actual Titles</t>
  </si>
  <si>
    <t>Linear Trend (fit)</t>
  </si>
  <si>
    <t>Hold-out Prediction</t>
  </si>
  <si>
    <t>Model Parameters</t>
  </si>
  <si>
    <t>Item</t>
  </si>
  <si>
    <t>Value</t>
  </si>
  <si>
    <t>Train period</t>
  </si>
  <si>
    <t>Test period</t>
  </si>
  <si>
    <t>Train / test records</t>
  </si>
  <si>
    <t>Train slope (titles per year)</t>
  </si>
  <si>
    <t>Train intercept</t>
  </si>
  <si>
    <t>Hold-out Evaluation</t>
  </si>
  <si>
    <t>Metric</t>
  </si>
  <si>
    <t>MAE</t>
  </si>
  <si>
    <t>RMSE</t>
  </si>
  <si>
    <t>R² Score</t>
  </si>
  <si>
    <t>Forecast (model refit on all years)</t>
  </si>
  <si>
    <t>Predicted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</si>
</sst>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&quot; min&quot;"/>
    <numFmt numFmtId="165" formatCode="0.0%"/>
    <numFmt numFmtId="166" formatCode="0.0"/>
    <numFmt numFmtId="167" formatCode="0.0000"/>
    <numFmt numFmtId="168" formatCode="0.000"/>
  </numFmts>
  <fonts count="17" x14ac:knownFonts="1">
    <font>
      <sz val="11"/>
      <color theme="1"/>
      <name val="Calibri"/>
      <family val="2"/>
      <charset val="1"/>
    </font>
    <font>
      <b/>
      <sz val="24"/>
      <color rgb="FFE50914"/>
      <name val="Arial"/>
      <charset val="1"/>
    </font>
    <font>
      <sz val="10"/>
      <color rgb="FFC9C9C9"/>
      <name val="Arial"/>
      <charset val="1"/>
    </font>
    <font>
      <b/>
      <sz val="8"/>
      <color rgb="FF6B6B6B"/>
      <name val="Arial"/>
      <charset val="1"/>
    </font>
    <font>
      <b/>
      <sz val="22"/>
      <color rgb="FF141414"/>
      <name val="Arial"/>
      <charset val="1"/>
    </font>
    <font>
      <i/>
      <sz val="9"/>
      <color rgb="FFE50914"/>
      <name val="Arial"/>
      <charset val="1"/>
    </font>
    <font>
      <b/>
      <sz val="12"/>
      <color rgb="FFFFFFFF"/>
      <name val="Arial"/>
      <charset val="1"/>
    </font>
    <font>
      <sz val="10"/>
      <color rgb="FF222222"/>
      <name val="Arial"/>
      <charset val="1"/>
    </font>
    <font>
      <i/>
      <sz val="8"/>
      <color rgb="FF6B6B6B"/>
      <name val="Arial"/>
      <charset val="1"/>
    </font>
    <font>
      <b/>
      <sz val="16"/>
      <color rgb="FFE50914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E50914"/>
      <name val="Arial"/>
      <charset val="1"/>
    </font>
    <font>
      <sz val="9"/>
      <color rgb="FF44444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41414"/>
        <bgColor rgb="FF221F1F"/>
      </patternFill>
    </fill>
    <fill>
      <patternFill patternType="solid">
        <fgColor rgb="FFF2F2F2"/>
        <bgColor rgb="FFFDECEA"/>
      </patternFill>
    </fill>
    <fill>
      <patternFill patternType="solid">
        <fgColor rgb="FFFFFFFF"/>
        <bgColor rgb="FFF2F2F2"/>
      </patternFill>
    </fill>
    <fill>
      <patternFill patternType="solid">
        <fgColor rgb="FFE50914"/>
        <bgColor rgb="FFB20710"/>
      </patternFill>
    </fill>
    <fill>
      <patternFill patternType="solid">
        <fgColor rgb="FFE8EAED"/>
        <bgColor rgb="FFE5E7EB"/>
      </patternFill>
    </fill>
    <fill>
      <patternFill patternType="solid">
        <fgColor rgb="FFFDECEA"/>
        <bgColor rgb="FFF2F2F2"/>
      </patternFill>
    </fill>
  </fills>
  <borders count="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ck">
        <color rgb="FFE50914"/>
      </top>
      <bottom/>
      <diagonal/>
    </border>
    <border>
      <left style="thin">
        <color rgb="FFD0D7DE"/>
      </left>
      <right style="thin">
        <color rgb="FFD0D7DE"/>
      </right>
      <top/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3" borderId="0" xfId="0" applyFont="1" applyFill="1"/>
    <xf numFmtId="0" fontId="5" fillId="4" borderId="5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9" fillId="0" borderId="0" xfId="0" applyFont="1"/>
    <xf numFmtId="0" fontId="10" fillId="0" borderId="0" xfId="0" applyFont="1"/>
    <xf numFmtId="0" fontId="11" fillId="2" borderId="6" xfId="0" applyFont="1" applyFill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3" fontId="12" fillId="0" borderId="6" xfId="0" applyNumberFormat="1" applyFont="1" applyBorder="1"/>
    <xf numFmtId="3" fontId="13" fillId="0" borderId="6" xfId="0" applyNumberFormat="1" applyFont="1" applyBorder="1"/>
    <xf numFmtId="165" fontId="13" fillId="0" borderId="6" xfId="0" applyNumberFormat="1" applyFont="1" applyBorder="1"/>
    <xf numFmtId="0" fontId="14" fillId="6" borderId="6" xfId="0" applyFont="1" applyFill="1" applyBorder="1" applyAlignment="1">
      <alignment horizontal="center"/>
    </xf>
    <xf numFmtId="3" fontId="14" fillId="6" borderId="6" xfId="0" applyNumberFormat="1" applyFont="1" applyFill="1" applyBorder="1"/>
    <xf numFmtId="165" fontId="14" fillId="6" borderId="6" xfId="0" applyNumberFormat="1" applyFont="1" applyFill="1" applyBorder="1"/>
    <xf numFmtId="0" fontId="15" fillId="0" borderId="0" xfId="0" applyFont="1"/>
    <xf numFmtId="0" fontId="13" fillId="0" borderId="6" xfId="0" applyFont="1" applyBorder="1"/>
    <xf numFmtId="0" fontId="14" fillId="0" borderId="6" xfId="0" applyFont="1" applyBorder="1"/>
    <xf numFmtId="3" fontId="14" fillId="0" borderId="6" xfId="0" applyNumberFormat="1" applyFont="1" applyBorder="1"/>
    <xf numFmtId="165" fontId="14" fillId="0" borderId="6" xfId="0" applyNumberFormat="1" applyFont="1" applyBorder="1"/>
    <xf numFmtId="166" fontId="12" fillId="0" borderId="6" xfId="0" applyNumberFormat="1" applyFont="1" applyBorder="1"/>
    <xf numFmtId="1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right"/>
    </xf>
    <xf numFmtId="167" fontId="13" fillId="0" borderId="6" xfId="0" applyNumberFormat="1" applyFont="1" applyBorder="1" applyAlignment="1">
      <alignment horizontal="right"/>
    </xf>
    <xf numFmtId="4" fontId="13" fillId="0" borderId="6" xfId="0" applyNumberFormat="1" applyFont="1" applyBorder="1" applyAlignment="1">
      <alignment horizontal="right"/>
    </xf>
    <xf numFmtId="168" fontId="13" fillId="0" borderId="6" xfId="0" applyNumberFormat="1" applyFont="1" applyBorder="1" applyAlignment="1">
      <alignment horizontal="right"/>
    </xf>
    <xf numFmtId="3" fontId="13" fillId="0" borderId="6" xfId="0" applyNumberFormat="1" applyFont="1" applyBorder="1" applyAlignment="1">
      <alignment horizontal="right"/>
    </xf>
    <xf numFmtId="0" fontId="16" fillId="0" borderId="0" xfId="0" applyFont="1"/>
    <xf numFmtId="1" fontId="13" fillId="7" borderId="6" xfId="0" applyNumberFormat="1" applyFont="1" applyFill="1" applyBorder="1" applyAlignment="1">
      <alignment horizontal="center"/>
    </xf>
    <xf numFmtId="0" fontId="13" fillId="7" borderId="6" xfId="0" applyFont="1" applyFill="1" applyBorder="1"/>
    <xf numFmtId="3" fontId="13" fillId="7" borderId="6" xfId="0" applyNumberFormat="1" applyFont="1" applyFill="1" applyBorder="1"/>
    <xf numFmtId="0" fontId="6" fillId="5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B20710"/>
      <rgbColor rgb="FF008000"/>
      <rgbColor rgb="FF000080"/>
      <rgbColor rgb="FF666666"/>
      <rgbColor rgb="FF800080"/>
      <rgbColor rgb="FF008080"/>
      <rgbColor rgb="FFC9C9C9"/>
      <rgbColor rgb="FF878787"/>
      <rgbColor rgb="FF9999FF"/>
      <rgbColor rgb="FF993366"/>
      <rgbColor rgb="FFF2F2F2"/>
      <rgbColor rgb="FFE8EAED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DECEA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B6B"/>
      <rgbColor rgb="FF8C8C8C"/>
      <rgbColor rgb="FF003366"/>
      <rgbColor rgb="FF339966"/>
      <rgbColor rgb="FF141414"/>
      <rgbColor rgb="FF221F1F"/>
      <rgbColor rgb="FF993300"/>
      <rgbColor rgb="FF993366"/>
      <rgbColor rgb="FF44444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Content Mix: Movies vs TV Shows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E5091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93D-424A-8461-3FDC76C31DC2}"/>
              </c:ext>
            </c:extLst>
          </c:dPt>
          <c:dPt>
            <c:idx val="1"/>
            <c:bubble3D val="0"/>
            <c:spPr>
              <a:solidFill>
                <a:srgbClr val="221F1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3D-424A-8461-3FDC76C31DC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93D-424A-8461-3FDC76C31DC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93D-424A-8461-3FDC76C31D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Data_Summary!$A$5:$A$6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Data_Summary!$B$5:$B$6</c:f>
              <c:numCache>
                <c:formatCode>#,##0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3D-424A-8461-3FDC76C31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D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Titles Released per Year (1980–2021)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Movies</c:v>
          </c:tx>
          <c:spPr>
            <a:ln w="28440">
              <a:solidFill>
                <a:srgbClr val="E5091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Data_Yearly!$A$5:$A$78</c:f>
              <c:numCache>
                <c:formatCode>0</c:formatCod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numCache>
            </c:numRef>
          </c:xVal>
          <c:yVal>
            <c:numRef>
              <c:f>Data_Yearly!$B$5:$B$78</c:f>
              <c:numCache>
                <c:formatCode>#,##0</c:formatCode>
                <c:ptCount val="7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4</c:v>
                </c:pt>
                <c:pt idx="25">
                  <c:v>10</c:v>
                </c:pt>
                <c:pt idx="26">
                  <c:v>6</c:v>
                </c:pt>
                <c:pt idx="27">
                  <c:v>7</c:v>
                </c:pt>
                <c:pt idx="28">
                  <c:v>9</c:v>
                </c:pt>
                <c:pt idx="29">
                  <c:v>6</c:v>
                </c:pt>
                <c:pt idx="30">
                  <c:v>7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9</c:v>
                </c:pt>
                <c:pt idx="38">
                  <c:v>11</c:v>
                </c:pt>
                <c:pt idx="39">
                  <c:v>8</c:v>
                </c:pt>
                <c:pt idx="40">
                  <c:v>16</c:v>
                </c:pt>
                <c:pt idx="41">
                  <c:v>15</c:v>
                </c:pt>
                <c:pt idx="42">
                  <c:v>19</c:v>
                </c:pt>
                <c:pt idx="43">
                  <c:v>16</c:v>
                </c:pt>
                <c:pt idx="44">
                  <c:v>20</c:v>
                </c:pt>
                <c:pt idx="45">
                  <c:v>24</c:v>
                </c:pt>
                <c:pt idx="46">
                  <c:v>20</c:v>
                </c:pt>
                <c:pt idx="47">
                  <c:v>23</c:v>
                </c:pt>
                <c:pt idx="48">
                  <c:v>21</c:v>
                </c:pt>
                <c:pt idx="49">
                  <c:v>34</c:v>
                </c:pt>
                <c:pt idx="50">
                  <c:v>32</c:v>
                </c:pt>
                <c:pt idx="51">
                  <c:v>32</c:v>
                </c:pt>
                <c:pt idx="52">
                  <c:v>33</c:v>
                </c:pt>
                <c:pt idx="53">
                  <c:v>40</c:v>
                </c:pt>
                <c:pt idx="54">
                  <c:v>44</c:v>
                </c:pt>
                <c:pt idx="55">
                  <c:v>51</c:v>
                </c:pt>
                <c:pt idx="56">
                  <c:v>55</c:v>
                </c:pt>
                <c:pt idx="57">
                  <c:v>67</c:v>
                </c:pt>
                <c:pt idx="58">
                  <c:v>82</c:v>
                </c:pt>
                <c:pt idx="59">
                  <c:v>74</c:v>
                </c:pt>
                <c:pt idx="60">
                  <c:v>113</c:v>
                </c:pt>
                <c:pt idx="61">
                  <c:v>118</c:v>
                </c:pt>
                <c:pt idx="62">
                  <c:v>153</c:v>
                </c:pt>
                <c:pt idx="63">
                  <c:v>145</c:v>
                </c:pt>
                <c:pt idx="64">
                  <c:v>173</c:v>
                </c:pt>
                <c:pt idx="65">
                  <c:v>225</c:v>
                </c:pt>
                <c:pt idx="66">
                  <c:v>264</c:v>
                </c:pt>
                <c:pt idx="67">
                  <c:v>396</c:v>
                </c:pt>
                <c:pt idx="68">
                  <c:v>658</c:v>
                </c:pt>
                <c:pt idx="69">
                  <c:v>765</c:v>
                </c:pt>
                <c:pt idx="70">
                  <c:v>767</c:v>
                </c:pt>
                <c:pt idx="71">
                  <c:v>633</c:v>
                </c:pt>
                <c:pt idx="72">
                  <c:v>517</c:v>
                </c:pt>
                <c:pt idx="73">
                  <c:v>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8-43ED-9786-DF1BA872A24E}"/>
            </c:ext>
          </c:extLst>
        </c:ser>
        <c:ser>
          <c:idx val="1"/>
          <c:order val="1"/>
          <c:tx>
            <c:v>TV Shows</c:v>
          </c:tx>
          <c:spPr>
            <a:ln w="28440">
              <a:solidFill>
                <a:srgbClr val="221F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Data_Yearly!$A$5:$A$78</c:f>
              <c:numCache>
                <c:formatCode>0</c:formatCod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numCache>
            </c:numRef>
          </c:xVal>
          <c:yVal>
            <c:numRef>
              <c:f>Data_Yearly!$C$5:$C$78</c:f>
              <c:numCache>
                <c:formatCode>#,##0</c:formatCode>
                <c:ptCount val="7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2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4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7</c:v>
                </c:pt>
                <c:pt idx="52">
                  <c:v>4</c:v>
                </c:pt>
                <c:pt idx="53">
                  <c:v>5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13</c:v>
                </c:pt>
                <c:pt idx="58">
                  <c:v>14</c:v>
                </c:pt>
                <c:pt idx="59">
                  <c:v>14</c:v>
                </c:pt>
                <c:pt idx="60">
                  <c:v>22</c:v>
                </c:pt>
                <c:pt idx="61">
                  <c:v>34</c:v>
                </c:pt>
                <c:pt idx="62">
                  <c:v>39</c:v>
                </c:pt>
                <c:pt idx="63">
                  <c:v>40</c:v>
                </c:pt>
                <c:pt idx="64">
                  <c:v>63</c:v>
                </c:pt>
                <c:pt idx="65">
                  <c:v>61</c:v>
                </c:pt>
                <c:pt idx="66">
                  <c:v>88</c:v>
                </c:pt>
                <c:pt idx="67">
                  <c:v>159</c:v>
                </c:pt>
                <c:pt idx="68">
                  <c:v>243</c:v>
                </c:pt>
                <c:pt idx="69">
                  <c:v>265</c:v>
                </c:pt>
                <c:pt idx="70">
                  <c:v>379</c:v>
                </c:pt>
                <c:pt idx="71">
                  <c:v>397</c:v>
                </c:pt>
                <c:pt idx="72">
                  <c:v>436</c:v>
                </c:pt>
                <c:pt idx="73">
                  <c:v>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8-43ED-9786-DF1BA872A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58703"/>
        <c:axId val="84814740"/>
      </c:scatterChart>
      <c:valAx>
        <c:axId val="76558703"/>
        <c:scaling>
          <c:orientation val="minMax"/>
          <c:max val="2025"/>
          <c:min val="198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Release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814740"/>
        <c:crosses val="autoZero"/>
        <c:crossBetween val="midCat"/>
        <c:majorUnit val="5"/>
      </c:valAx>
      <c:valAx>
        <c:axId val="8481474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587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D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9 Countries by Titles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5091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Data_Summary!$A$11:$A$19</c:f>
              <c:strCache>
                <c:ptCount val="9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</c:strCache>
            </c:strRef>
          </c:cat>
          <c:val>
            <c:numRef>
              <c:f>Data_Summary!$B$11:$B$19</c:f>
              <c:numCache>
                <c:formatCode>#,##0</c:formatCode>
                <c:ptCount val="9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271</c:v>
                </c:pt>
                <c:pt idx="5">
                  <c:v>259</c:v>
                </c:pt>
                <c:pt idx="6">
                  <c:v>214</c:v>
                </c:pt>
                <c:pt idx="7">
                  <c:v>213</c:v>
                </c:pt>
                <c:pt idx="8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B-4257-B27E-F46FB9C9E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2034633"/>
        <c:axId val="2844288"/>
      </c:barChart>
      <c:catAx>
        <c:axId val="2203463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4288"/>
        <c:crosses val="autoZero"/>
        <c:auto val="1"/>
        <c:lblAlgn val="ctr"/>
        <c:lblOffset val="100"/>
        <c:noMultiLvlLbl val="0"/>
      </c:catAx>
      <c:valAx>
        <c:axId val="2844288"/>
        <c:scaling>
          <c:orientation val="minMax"/>
        </c:scaling>
        <c:delete val="0"/>
        <c:axPos val="b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3463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7D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Genres by Titles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B2071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Data_Summary!$A$24:$A$33</c:f>
              <c:strCache>
                <c:ptCount val="10"/>
                <c:pt idx="0">
                  <c:v>International Movies</c:v>
                </c:pt>
                <c:pt idx="1">
                  <c:v>Dramas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Documentaries</c:v>
                </c:pt>
                <c:pt idx="5">
                  <c:v>Action &amp; Adventure</c:v>
                </c:pt>
                <c:pt idx="6">
                  <c:v>TV Dramas</c:v>
                </c:pt>
                <c:pt idx="7">
                  <c:v>Independent Movies</c:v>
                </c:pt>
                <c:pt idx="8">
                  <c:v>Children &amp; Family Movies</c:v>
                </c:pt>
                <c:pt idx="9">
                  <c:v>Romantic Movies</c:v>
                </c:pt>
              </c:strCache>
            </c:strRef>
          </c:cat>
          <c:val>
            <c:numRef>
              <c:f>Data_Summary!$B$24:$B$33</c:f>
              <c:numCache>
                <c:formatCode>#,##0</c:formatCode>
                <c:ptCount val="10"/>
                <c:pt idx="0">
                  <c:v>2752</c:v>
                </c:pt>
                <c:pt idx="1">
                  <c:v>2426</c:v>
                </c:pt>
                <c:pt idx="2">
                  <c:v>1674</c:v>
                </c:pt>
                <c:pt idx="3">
                  <c:v>1349</c:v>
                </c:pt>
                <c:pt idx="4">
                  <c:v>869</c:v>
                </c:pt>
                <c:pt idx="5">
                  <c:v>859</c:v>
                </c:pt>
                <c:pt idx="6">
                  <c:v>762</c:v>
                </c:pt>
                <c:pt idx="7">
                  <c:v>756</c:v>
                </c:pt>
                <c:pt idx="8">
                  <c:v>641</c:v>
                </c:pt>
                <c:pt idx="9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5-4153-9ECD-7EF263522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6952627"/>
        <c:axId val="22938234"/>
      </c:barChart>
      <c:catAx>
        <c:axId val="769526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38234"/>
        <c:crosses val="autoZero"/>
        <c:auto val="1"/>
        <c:lblAlgn val="ctr"/>
        <c:lblOffset val="100"/>
        <c:noMultiLvlLbl val="0"/>
      </c:catAx>
      <c:valAx>
        <c:axId val="22938234"/>
        <c:scaling>
          <c:orientation val="minMax"/>
        </c:scaling>
        <c:delete val="0"/>
        <c:axPos val="b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95262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7D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Content Rating Distribution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5091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Data_Summary!$A$37:$A$46</c:f>
              <c:strCache>
                <c:ptCount val="10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</c:strCache>
            </c:strRef>
          </c:cat>
          <c:val>
            <c:numRef>
              <c:f>Data_Summary!$B$37:$B$46</c:f>
              <c:numCache>
                <c:formatCode>#,##0</c:formatCode>
                <c:ptCount val="10"/>
                <c:pt idx="0">
                  <c:v>3205</c:v>
                </c:pt>
                <c:pt idx="1">
                  <c:v>2157</c:v>
                </c:pt>
                <c:pt idx="2">
                  <c:v>861</c:v>
                </c:pt>
                <c:pt idx="3">
                  <c:v>799</c:v>
                </c:pt>
                <c:pt idx="4">
                  <c:v>490</c:v>
                </c:pt>
                <c:pt idx="5">
                  <c:v>333</c:v>
                </c:pt>
                <c:pt idx="6">
                  <c:v>306</c:v>
                </c:pt>
                <c:pt idx="7">
                  <c:v>287</c:v>
                </c:pt>
                <c:pt idx="8">
                  <c:v>220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2-4BAA-A964-67A0DA18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1526840"/>
        <c:axId val="1254884"/>
      </c:barChart>
      <c:catAx>
        <c:axId val="4152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4884"/>
        <c:crosses val="autoZero"/>
        <c:auto val="1"/>
        <c:lblAlgn val="ctr"/>
        <c:lblOffset val="100"/>
        <c:noMultiLvlLbl val="0"/>
      </c:catAx>
      <c:valAx>
        <c:axId val="125488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26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7D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Release Trend &amp; Forecast 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8440">
              <a:solidFill>
                <a:srgbClr val="221F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Forecast!$A$5:$A$78</c:f>
              <c:numCache>
                <c:formatCode>0</c:formatCod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numCache>
            </c:numRef>
          </c:xVal>
          <c:yVal>
            <c:numRef>
              <c:f>Forecast!$B$5:$B$78</c:f>
              <c:numCache>
                <c:formatCode>#,##0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7</c:v>
                </c:pt>
                <c:pt idx="27">
                  <c:v>7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13</c:v>
                </c:pt>
                <c:pt idx="39">
                  <c:v>8</c:v>
                </c:pt>
                <c:pt idx="40">
                  <c:v>18</c:v>
                </c:pt>
                <c:pt idx="41">
                  <c:v>16</c:v>
                </c:pt>
                <c:pt idx="42">
                  <c:v>22</c:v>
                </c:pt>
                <c:pt idx="43">
                  <c:v>17</c:v>
                </c:pt>
                <c:pt idx="44">
                  <c:v>23</c:v>
                </c:pt>
                <c:pt idx="45">
                  <c:v>28</c:v>
                </c:pt>
                <c:pt idx="46">
                  <c:v>22</c:v>
                </c:pt>
                <c:pt idx="47">
                  <c:v>25</c:v>
                </c:pt>
                <c:pt idx="48">
                  <c:v>24</c:v>
                </c:pt>
                <c:pt idx="49">
                  <c:v>38</c:v>
                </c:pt>
                <c:pt idx="50">
                  <c:v>36</c:v>
                </c:pt>
                <c:pt idx="51">
                  <c:v>39</c:v>
                </c:pt>
                <c:pt idx="52">
                  <c:v>37</c:v>
                </c:pt>
                <c:pt idx="53">
                  <c:v>45</c:v>
                </c:pt>
                <c:pt idx="54">
                  <c:v>51</c:v>
                </c:pt>
                <c:pt idx="55">
                  <c:v>59</c:v>
                </c:pt>
                <c:pt idx="56">
                  <c:v>64</c:v>
                </c:pt>
                <c:pt idx="57">
                  <c:v>80</c:v>
                </c:pt>
                <c:pt idx="58">
                  <c:v>96</c:v>
                </c:pt>
                <c:pt idx="59">
                  <c:v>88</c:v>
                </c:pt>
                <c:pt idx="60">
                  <c:v>135</c:v>
                </c:pt>
                <c:pt idx="61">
                  <c:v>152</c:v>
                </c:pt>
                <c:pt idx="62">
                  <c:v>192</c:v>
                </c:pt>
                <c:pt idx="63">
                  <c:v>185</c:v>
                </c:pt>
                <c:pt idx="64">
                  <c:v>236</c:v>
                </c:pt>
                <c:pt idx="65">
                  <c:v>286</c:v>
                </c:pt>
                <c:pt idx="66">
                  <c:v>352</c:v>
                </c:pt>
                <c:pt idx="67">
                  <c:v>555</c:v>
                </c:pt>
                <c:pt idx="68">
                  <c:v>901</c:v>
                </c:pt>
                <c:pt idx="69">
                  <c:v>1030</c:v>
                </c:pt>
                <c:pt idx="70">
                  <c:v>1146</c:v>
                </c:pt>
                <c:pt idx="71">
                  <c:v>1030</c:v>
                </c:pt>
                <c:pt idx="72">
                  <c:v>953</c:v>
                </c:pt>
                <c:pt idx="7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6B-43DF-9CDD-2840C8934C97}"/>
            </c:ext>
          </c:extLst>
        </c:ser>
        <c:ser>
          <c:idx val="1"/>
          <c:order val="1"/>
          <c:tx>
            <c:v>Linear trend / forecast</c:v>
          </c:tx>
          <c:spPr>
            <a:ln w="28440">
              <a:solidFill>
                <a:srgbClr val="E5091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Forecast!$A$5:$A$83</c:f>
              <c:numCache>
                <c:formatCode>0</c:formatCode>
                <c:ptCount val="79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  <c:pt idx="75">
                  <c:v>2023</c:v>
                </c:pt>
                <c:pt idx="76">
                  <c:v>2024</c:v>
                </c:pt>
                <c:pt idx="77">
                  <c:v>2025</c:v>
                </c:pt>
                <c:pt idx="78">
                  <c:v>2026</c:v>
                </c:pt>
              </c:numCache>
            </c:numRef>
          </c:xVal>
          <c:yVal>
            <c:numRef>
              <c:f>Forecast!$C$5:$C$83</c:f>
              <c:numCache>
                <c:formatCode>#,##0</c:formatCode>
                <c:ptCount val="79"/>
                <c:pt idx="0">
                  <c:v>-283.73624632501742</c:v>
                </c:pt>
                <c:pt idx="1">
                  <c:v>-166.92651209736687</c:v>
                </c:pt>
                <c:pt idx="2">
                  <c:v>-160.0553512604456</c:v>
                </c:pt>
                <c:pt idx="3">
                  <c:v>-153.18419042352434</c:v>
                </c:pt>
                <c:pt idx="4">
                  <c:v>-146.31302958660308</c:v>
                </c:pt>
                <c:pt idx="5">
                  <c:v>-139.44186874968364</c:v>
                </c:pt>
                <c:pt idx="6">
                  <c:v>-132.57070791276237</c:v>
                </c:pt>
                <c:pt idx="7">
                  <c:v>-84.472582054317172</c:v>
                </c:pt>
                <c:pt idx="8">
                  <c:v>-77.601421217395909</c:v>
                </c:pt>
                <c:pt idx="9">
                  <c:v>-70.730260380476466</c:v>
                </c:pt>
                <c:pt idx="10">
                  <c:v>-56.98793870663394</c:v>
                </c:pt>
                <c:pt idx="11">
                  <c:v>-50.116777869714497</c:v>
                </c:pt>
                <c:pt idx="12">
                  <c:v>-43.245617032793234</c:v>
                </c:pt>
                <c:pt idx="13">
                  <c:v>-36.374456195871971</c:v>
                </c:pt>
                <c:pt idx="14">
                  <c:v>-29.503295358950709</c:v>
                </c:pt>
                <c:pt idx="15">
                  <c:v>-22.632134522031265</c:v>
                </c:pt>
                <c:pt idx="16">
                  <c:v>-15.760973685110002</c:v>
                </c:pt>
                <c:pt idx="17">
                  <c:v>-8.8898128481887397</c:v>
                </c:pt>
                <c:pt idx="18">
                  <c:v>-2.0186520112692961</c:v>
                </c:pt>
                <c:pt idx="19">
                  <c:v>4.8525088256519666</c:v>
                </c:pt>
                <c:pt idx="20">
                  <c:v>11.723669662573229</c:v>
                </c:pt>
                <c:pt idx="21">
                  <c:v>18.594830499492673</c:v>
                </c:pt>
                <c:pt idx="22">
                  <c:v>25.465991336413936</c:v>
                </c:pt>
                <c:pt idx="23">
                  <c:v>32.337152173335198</c:v>
                </c:pt>
                <c:pt idx="24">
                  <c:v>39.208313010256461</c:v>
                </c:pt>
                <c:pt idx="25">
                  <c:v>46.079473847175905</c:v>
                </c:pt>
                <c:pt idx="26">
                  <c:v>52.950634684097167</c:v>
                </c:pt>
                <c:pt idx="27">
                  <c:v>59.82179552101843</c:v>
                </c:pt>
                <c:pt idx="28">
                  <c:v>66.692956357937874</c:v>
                </c:pt>
                <c:pt idx="29">
                  <c:v>73.564117194859136</c:v>
                </c:pt>
                <c:pt idx="30">
                  <c:v>80.435278031780399</c:v>
                </c:pt>
                <c:pt idx="31">
                  <c:v>87.306438868699843</c:v>
                </c:pt>
                <c:pt idx="32">
                  <c:v>94.177599705621105</c:v>
                </c:pt>
                <c:pt idx="33">
                  <c:v>101.04876054254237</c:v>
                </c:pt>
                <c:pt idx="34">
                  <c:v>107.91992137946363</c:v>
                </c:pt>
                <c:pt idx="35">
                  <c:v>114.79108221638307</c:v>
                </c:pt>
                <c:pt idx="36">
                  <c:v>121.66224305330434</c:v>
                </c:pt>
                <c:pt idx="37">
                  <c:v>128.5334038902256</c:v>
                </c:pt>
                <c:pt idx="38">
                  <c:v>135.40456472714504</c:v>
                </c:pt>
                <c:pt idx="39">
                  <c:v>142.27572556406631</c:v>
                </c:pt>
                <c:pt idx="40">
                  <c:v>149.14688640098757</c:v>
                </c:pt>
                <c:pt idx="41">
                  <c:v>156.01804723790883</c:v>
                </c:pt>
                <c:pt idx="42">
                  <c:v>162.88920807482828</c:v>
                </c:pt>
                <c:pt idx="43">
                  <c:v>169.76036891174954</c:v>
                </c:pt>
                <c:pt idx="44">
                  <c:v>176.6315297486708</c:v>
                </c:pt>
                <c:pt idx="45">
                  <c:v>183.50269058559024</c:v>
                </c:pt>
                <c:pt idx="46">
                  <c:v>190.37385142251151</c:v>
                </c:pt>
                <c:pt idx="47">
                  <c:v>197.24501225943277</c:v>
                </c:pt>
                <c:pt idx="48">
                  <c:v>204.11617309635221</c:v>
                </c:pt>
                <c:pt idx="49">
                  <c:v>210.98733393327348</c:v>
                </c:pt>
                <c:pt idx="50">
                  <c:v>217.85849477019474</c:v>
                </c:pt>
                <c:pt idx="51">
                  <c:v>224.729655607116</c:v>
                </c:pt>
                <c:pt idx="52">
                  <c:v>231.60081644403544</c:v>
                </c:pt>
                <c:pt idx="53">
                  <c:v>238.47197728095671</c:v>
                </c:pt>
                <c:pt idx="54">
                  <c:v>245.34313811787797</c:v>
                </c:pt>
                <c:pt idx="55">
                  <c:v>252.21429895479741</c:v>
                </c:pt>
                <c:pt idx="56">
                  <c:v>259.08545979171868</c:v>
                </c:pt>
                <c:pt idx="57">
                  <c:v>265.95662062863994</c:v>
                </c:pt>
                <c:pt idx="58">
                  <c:v>272.82778146555938</c:v>
                </c:pt>
                <c:pt idx="59">
                  <c:v>279.69894230248065</c:v>
                </c:pt>
                <c:pt idx="60">
                  <c:v>286.57010313940191</c:v>
                </c:pt>
                <c:pt idx="61">
                  <c:v>293.44126397632317</c:v>
                </c:pt>
                <c:pt idx="62">
                  <c:v>300.31242481324261</c:v>
                </c:pt>
                <c:pt idx="63">
                  <c:v>307.18358565016388</c:v>
                </c:pt>
                <c:pt idx="64">
                  <c:v>314.05474648708514</c:v>
                </c:pt>
                <c:pt idx="65">
                  <c:v>320.92590732400458</c:v>
                </c:pt>
                <c:pt idx="66">
                  <c:v>327.79706816092585</c:v>
                </c:pt>
                <c:pt idx="67">
                  <c:v>334.66822899784711</c:v>
                </c:pt>
                <c:pt idx="68">
                  <c:v>341.53938983476837</c:v>
                </c:pt>
                <c:pt idx="69">
                  <c:v>348.41055067168782</c:v>
                </c:pt>
                <c:pt idx="70">
                  <c:v>355.28171150860908</c:v>
                </c:pt>
                <c:pt idx="71">
                  <c:v>362.15287234553034</c:v>
                </c:pt>
                <c:pt idx="72">
                  <c:v>369.02403318244978</c:v>
                </c:pt>
                <c:pt idx="73">
                  <c:v>375.89519401937105</c:v>
                </c:pt>
                <c:pt idx="74">
                  <c:v>382.76635485629231</c:v>
                </c:pt>
                <c:pt idx="75">
                  <c:v>389.63751569321175</c:v>
                </c:pt>
                <c:pt idx="76">
                  <c:v>396.50867653013302</c:v>
                </c:pt>
                <c:pt idx="77">
                  <c:v>403.37983736705428</c:v>
                </c:pt>
                <c:pt idx="78">
                  <c:v>410.25099820397554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B-43DF-9CDD-2840C8934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6304"/>
        <c:axId val="39924718"/>
      </c:scatterChart>
      <c:valAx>
        <c:axId val="3256304"/>
        <c:scaling>
          <c:orientation val="minMax"/>
          <c:max val="2030"/>
          <c:min val="199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24718"/>
        <c:crosses val="autoZero"/>
        <c:crossBetween val="midCat"/>
        <c:majorUnit val="5"/>
      </c:valAx>
      <c:valAx>
        <c:axId val="3992471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630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DE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10</xdr:col>
      <xdr:colOff>50400</xdr:colOff>
      <xdr:row>24</xdr:row>
      <xdr:rowOff>93960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19</xdr:col>
      <xdr:colOff>50400</xdr:colOff>
      <xdr:row>24</xdr:row>
      <xdr:rowOff>93960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50400</xdr:colOff>
      <xdr:row>41</xdr:row>
      <xdr:rowOff>93960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19</xdr:col>
      <xdr:colOff>50400</xdr:colOff>
      <xdr:row>41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50400</xdr:colOff>
      <xdr:row>58</xdr:row>
      <xdr:rowOff>94320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43</xdr:row>
      <xdr:rowOff>0</xdr:rowOff>
    </xdr:from>
    <xdr:to>
      <xdr:col>19</xdr:col>
      <xdr:colOff>50400</xdr:colOff>
      <xdr:row>58</xdr:row>
      <xdr:rowOff>94320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0914"/>
    <pageSetUpPr fitToPage="1"/>
  </sheetPr>
  <dimension ref="A1:T72"/>
  <sheetViews>
    <sheetView showGridLines="0" tabSelected="1" zoomScale="85" zoomScaleNormal="85" workbookViewId="0">
      <selection activeCell="G65" sqref="G65"/>
    </sheetView>
  </sheetViews>
  <sheetFormatPr defaultColWidth="8.6640625" defaultRowHeight="14.4" x14ac:dyDescent="0.3"/>
  <cols>
    <col min="1" max="1" width="2" customWidth="1"/>
    <col min="2" max="19" width="9" customWidth="1"/>
    <col min="20" max="20" width="2" customWidth="1"/>
  </cols>
  <sheetData>
    <row r="1" spans="1:20" ht="21.75" customHeight="1" x14ac:dyDescent="0.3">
      <c r="A1" s="9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ht="21.75" customHeight="1" x14ac:dyDescent="0.3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1:20" ht="19.5" customHeight="1" x14ac:dyDescent="0.3">
      <c r="A3" s="9"/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9"/>
    </row>
    <row r="4" spans="1:20" ht="9.75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9.5" customHeight="1" x14ac:dyDescent="0.3">
      <c r="A5" s="10"/>
      <c r="B5" s="6" t="s">
        <v>2</v>
      </c>
      <c r="C5" s="6"/>
      <c r="D5" s="6"/>
      <c r="E5" s="6" t="s">
        <v>3</v>
      </c>
      <c r="F5" s="6"/>
      <c r="G5" s="6"/>
      <c r="H5" s="6" t="s">
        <v>4</v>
      </c>
      <c r="I5" s="6"/>
      <c r="J5" s="6"/>
      <c r="K5" s="6" t="s">
        <v>5</v>
      </c>
      <c r="L5" s="6"/>
      <c r="M5" s="6"/>
      <c r="N5" s="6" t="s">
        <v>6</v>
      </c>
      <c r="O5" s="6"/>
      <c r="P5" s="6"/>
      <c r="Q5" s="6" t="s">
        <v>7</v>
      </c>
      <c r="R5" s="6"/>
      <c r="S5" s="6"/>
      <c r="T5" s="10"/>
    </row>
    <row r="6" spans="1:20" ht="19.5" customHeight="1" x14ac:dyDescent="0.3">
      <c r="A6" s="10"/>
      <c r="B6" s="5">
        <f>Data_Summary!B7</f>
        <v>8790</v>
      </c>
      <c r="C6" s="5"/>
      <c r="D6" s="5"/>
      <c r="E6" s="5">
        <f>Data_Summary!B5</f>
        <v>6126</v>
      </c>
      <c r="F6" s="5"/>
      <c r="G6" s="5"/>
      <c r="H6" s="5">
        <f>Data_Summary!B6</f>
        <v>2664</v>
      </c>
      <c r="I6" s="5"/>
      <c r="J6" s="5"/>
      <c r="K6" s="4" t="str">
        <f>MIN(Data_Yearly!A5:A78)&amp;"–"&amp;MAX(Data_Yearly!A5:A78)</f>
        <v>1925–2021</v>
      </c>
      <c r="L6" s="4"/>
      <c r="M6" s="4"/>
      <c r="N6" s="3">
        <f>Data_Summary!B50</f>
        <v>99.584884000000002</v>
      </c>
      <c r="O6" s="3"/>
      <c r="P6" s="3"/>
      <c r="Q6" s="4" t="str">
        <f>INDEX(Data_Summary!$A$37:$A$46,MATCH(MAX(Data_Summary!$B$37:$B$46),Data_Summary!$B$37:$B$46,0))</f>
        <v>TV-MA</v>
      </c>
      <c r="R6" s="4"/>
      <c r="S6" s="4"/>
      <c r="T6" s="10"/>
    </row>
    <row r="7" spans="1:20" ht="19.5" customHeight="1" x14ac:dyDescent="0.3">
      <c r="A7" s="10"/>
      <c r="B7" s="5"/>
      <c r="C7" s="5"/>
      <c r="D7" s="5"/>
      <c r="E7" s="5"/>
      <c r="F7" s="5"/>
      <c r="G7" s="5"/>
      <c r="H7" s="11"/>
      <c r="J7" s="12"/>
      <c r="K7" s="11"/>
      <c r="M7" s="12"/>
      <c r="N7" s="11"/>
      <c r="P7" s="12"/>
      <c r="Q7" s="4"/>
      <c r="R7" s="4"/>
      <c r="S7" s="4"/>
      <c r="T7" s="10"/>
    </row>
    <row r="8" spans="1:20" ht="18" customHeight="1" x14ac:dyDescent="0.3">
      <c r="A8" s="10"/>
      <c r="B8" s="2" t="str">
        <f>"catalog size"</f>
        <v>catalog size</v>
      </c>
      <c r="C8" s="2"/>
      <c r="D8" s="2"/>
      <c r="E8" s="2" t="str">
        <f>TEXT(Data_Summary!C5,"0.0%")&amp;" of catalog"</f>
        <v>69.7% of catalog</v>
      </c>
      <c r="F8" s="2"/>
      <c r="G8" s="2"/>
      <c r="H8" s="2" t="str">
        <f>TEXT(Data_Summary!C6,"0.0%")&amp;" of catalog"</f>
        <v>30.3% of catalog</v>
      </c>
      <c r="I8" s="2"/>
      <c r="J8" s="2"/>
      <c r="K8" s="2" t="str">
        <f>COUNT(Data_Yearly!A5:A78)&amp;" distinct release years"</f>
        <v>74 distinct release years</v>
      </c>
      <c r="L8" s="2"/>
      <c r="M8" s="2"/>
      <c r="N8" s="2" t="str">
        <f>"median "&amp;Data_Summary!B54&amp;" min"</f>
        <v>median 98 min</v>
      </c>
      <c r="O8" s="2"/>
      <c r="P8" s="2"/>
      <c r="Q8" s="2" t="str">
        <f>TEXT(MAX(Data_Summary!C37:C46),"0.0%")&amp;" of titles"</f>
        <v>36.5% of titles</v>
      </c>
      <c r="R8" s="2"/>
      <c r="S8" s="2"/>
      <c r="T8" s="10"/>
    </row>
    <row r="9" spans="1:20" ht="9.7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21.75" customHeight="1" x14ac:dyDescent="0.3">
      <c r="A62" s="10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10"/>
    </row>
    <row r="63" spans="1:20" ht="21.75" customHeight="1" x14ac:dyDescent="0.3">
      <c r="A63" s="1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10"/>
    </row>
    <row r="64" spans="1:20" ht="21.75" customHeight="1" x14ac:dyDescent="0.3">
      <c r="A64" s="1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10"/>
    </row>
    <row r="65" spans="1:20" ht="21.75" customHeight="1" x14ac:dyDescent="0.3">
      <c r="A65" s="1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10"/>
    </row>
    <row r="66" spans="1:20" ht="21.75" customHeight="1" x14ac:dyDescent="0.3">
      <c r="A66" s="1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10"/>
    </row>
    <row r="67" spans="1:20" ht="21.75" customHeight="1" x14ac:dyDescent="0.3">
      <c r="A67" s="1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10"/>
    </row>
    <row r="68" spans="1:20" ht="21.75" customHeight="1" x14ac:dyDescent="0.3">
      <c r="A68" s="1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10"/>
    </row>
    <row r="69" spans="1:20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3">
      <c r="A70" s="1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0"/>
    </row>
    <row r="71" spans="1:20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</sheetData>
  <mergeCells count="21">
    <mergeCell ref="B70:S70"/>
    <mergeCell ref="Q6:S7"/>
    <mergeCell ref="B8:D8"/>
    <mergeCell ref="E8:G8"/>
    <mergeCell ref="H8:J8"/>
    <mergeCell ref="K8:M8"/>
    <mergeCell ref="N8:P8"/>
    <mergeCell ref="Q8:S8"/>
    <mergeCell ref="B6:D7"/>
    <mergeCell ref="E6:G7"/>
    <mergeCell ref="H6:J6"/>
    <mergeCell ref="K6:M6"/>
    <mergeCell ref="N6:P6"/>
    <mergeCell ref="B1:S2"/>
    <mergeCell ref="B3:S3"/>
    <mergeCell ref="B5:D5"/>
    <mergeCell ref="E5:G5"/>
    <mergeCell ref="H5:J5"/>
    <mergeCell ref="K5:M5"/>
    <mergeCell ref="N5:P5"/>
    <mergeCell ref="Q5:S5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C8C8C"/>
  </sheetPr>
  <dimension ref="A1:E79"/>
  <sheetViews>
    <sheetView showGridLines="0" zoomScaleNormal="100" workbookViewId="0">
      <pane ySplit="4" topLeftCell="A5" activePane="bottomLeft" state="frozen"/>
      <selection pane="bottomLeft" activeCell="J7" sqref="J7"/>
    </sheetView>
  </sheetViews>
  <sheetFormatPr defaultColWidth="8.6640625" defaultRowHeight="14.4" x14ac:dyDescent="0.3"/>
  <cols>
    <col min="1" max="1" width="14" customWidth="1"/>
    <col min="2" max="3" width="12" customWidth="1"/>
    <col min="4" max="5" width="14" customWidth="1"/>
  </cols>
  <sheetData>
    <row r="1" spans="1:5" ht="21" x14ac:dyDescent="0.4">
      <c r="A1" s="13" t="s">
        <v>8</v>
      </c>
    </row>
    <row r="2" spans="1:5" x14ac:dyDescent="0.3">
      <c r="A2" s="14"/>
    </row>
    <row r="4" spans="1:5" x14ac:dyDescent="0.3">
      <c r="A4" s="15" t="s">
        <v>9</v>
      </c>
      <c r="B4" s="15" t="s">
        <v>10</v>
      </c>
      <c r="C4" s="15" t="s">
        <v>11</v>
      </c>
      <c r="D4" s="15" t="s">
        <v>12</v>
      </c>
      <c r="E4" s="15" t="s">
        <v>13</v>
      </c>
    </row>
    <row r="5" spans="1:5" x14ac:dyDescent="0.3">
      <c r="A5" s="16">
        <v>1925</v>
      </c>
      <c r="B5" s="17">
        <v>0</v>
      </c>
      <c r="C5" s="17">
        <v>1</v>
      </c>
      <c r="D5" s="18">
        <f t="shared" ref="D5:D36" si="0">B5+C5</f>
        <v>1</v>
      </c>
      <c r="E5" s="19">
        <f t="shared" ref="E5:E36" si="1">D5/$D$79</f>
        <v>1.1376564277588168E-4</v>
      </c>
    </row>
    <row r="6" spans="1:5" x14ac:dyDescent="0.3">
      <c r="A6" s="16">
        <v>1942</v>
      </c>
      <c r="B6" s="17">
        <v>2</v>
      </c>
      <c r="C6" s="17">
        <v>0</v>
      </c>
      <c r="D6" s="18">
        <f t="shared" si="0"/>
        <v>2</v>
      </c>
      <c r="E6" s="19">
        <f t="shared" si="1"/>
        <v>2.2753128555176336E-4</v>
      </c>
    </row>
    <row r="7" spans="1:5" x14ac:dyDescent="0.3">
      <c r="A7" s="16">
        <v>1943</v>
      </c>
      <c r="B7" s="17">
        <v>3</v>
      </c>
      <c r="C7" s="17">
        <v>0</v>
      </c>
      <c r="D7" s="18">
        <f t="shared" si="0"/>
        <v>3</v>
      </c>
      <c r="E7" s="19">
        <f t="shared" si="1"/>
        <v>3.4129692832764505E-4</v>
      </c>
    </row>
    <row r="8" spans="1:5" x14ac:dyDescent="0.3">
      <c r="A8" s="16">
        <v>1944</v>
      </c>
      <c r="B8" s="17">
        <v>3</v>
      </c>
      <c r="C8" s="17">
        <v>0</v>
      </c>
      <c r="D8" s="18">
        <f t="shared" si="0"/>
        <v>3</v>
      </c>
      <c r="E8" s="19">
        <f t="shared" si="1"/>
        <v>3.4129692832764505E-4</v>
      </c>
    </row>
    <row r="9" spans="1:5" x14ac:dyDescent="0.3">
      <c r="A9" s="16">
        <v>1945</v>
      </c>
      <c r="B9" s="17">
        <v>3</v>
      </c>
      <c r="C9" s="17">
        <v>1</v>
      </c>
      <c r="D9" s="18">
        <f t="shared" si="0"/>
        <v>4</v>
      </c>
      <c r="E9" s="19">
        <f t="shared" si="1"/>
        <v>4.5506257110352672E-4</v>
      </c>
    </row>
    <row r="10" spans="1:5" x14ac:dyDescent="0.3">
      <c r="A10" s="16">
        <v>1946</v>
      </c>
      <c r="B10" s="17">
        <v>1</v>
      </c>
      <c r="C10" s="17">
        <v>1</v>
      </c>
      <c r="D10" s="18">
        <f t="shared" si="0"/>
        <v>2</v>
      </c>
      <c r="E10" s="19">
        <f t="shared" si="1"/>
        <v>2.2753128555176336E-4</v>
      </c>
    </row>
    <row r="11" spans="1:5" x14ac:dyDescent="0.3">
      <c r="A11" s="16">
        <v>1947</v>
      </c>
      <c r="B11" s="17">
        <v>1</v>
      </c>
      <c r="C11" s="17">
        <v>0</v>
      </c>
      <c r="D11" s="18">
        <f t="shared" si="0"/>
        <v>1</v>
      </c>
      <c r="E11" s="19">
        <f t="shared" si="1"/>
        <v>1.1376564277588168E-4</v>
      </c>
    </row>
    <row r="12" spans="1:5" x14ac:dyDescent="0.3">
      <c r="A12" s="16">
        <v>1954</v>
      </c>
      <c r="B12" s="17">
        <v>2</v>
      </c>
      <c r="C12" s="17">
        <v>0</v>
      </c>
      <c r="D12" s="18">
        <f t="shared" si="0"/>
        <v>2</v>
      </c>
      <c r="E12" s="19">
        <f t="shared" si="1"/>
        <v>2.2753128555176336E-4</v>
      </c>
    </row>
    <row r="13" spans="1:5" x14ac:dyDescent="0.3">
      <c r="A13" s="16">
        <v>1955</v>
      </c>
      <c r="B13" s="17">
        <v>3</v>
      </c>
      <c r="C13" s="17">
        <v>0</v>
      </c>
      <c r="D13" s="18">
        <f t="shared" si="0"/>
        <v>3</v>
      </c>
      <c r="E13" s="19">
        <f t="shared" si="1"/>
        <v>3.4129692832764505E-4</v>
      </c>
    </row>
    <row r="14" spans="1:5" x14ac:dyDescent="0.3">
      <c r="A14" s="16">
        <v>1956</v>
      </c>
      <c r="B14" s="17">
        <v>2</v>
      </c>
      <c r="C14" s="17">
        <v>0</v>
      </c>
      <c r="D14" s="18">
        <f t="shared" si="0"/>
        <v>2</v>
      </c>
      <c r="E14" s="19">
        <f t="shared" si="1"/>
        <v>2.2753128555176336E-4</v>
      </c>
    </row>
    <row r="15" spans="1:5" x14ac:dyDescent="0.3">
      <c r="A15" s="16">
        <v>1958</v>
      </c>
      <c r="B15" s="17">
        <v>3</v>
      </c>
      <c r="C15" s="17">
        <v>0</v>
      </c>
      <c r="D15" s="18">
        <f t="shared" si="0"/>
        <v>3</v>
      </c>
      <c r="E15" s="19">
        <f t="shared" si="1"/>
        <v>3.4129692832764505E-4</v>
      </c>
    </row>
    <row r="16" spans="1:5" x14ac:dyDescent="0.3">
      <c r="A16" s="16">
        <v>1959</v>
      </c>
      <c r="B16" s="17">
        <v>1</v>
      </c>
      <c r="C16" s="17">
        <v>0</v>
      </c>
      <c r="D16" s="18">
        <f t="shared" si="0"/>
        <v>1</v>
      </c>
      <c r="E16" s="19">
        <f t="shared" si="1"/>
        <v>1.1376564277588168E-4</v>
      </c>
    </row>
    <row r="17" spans="1:5" x14ac:dyDescent="0.3">
      <c r="A17" s="16">
        <v>1960</v>
      </c>
      <c r="B17" s="17">
        <v>4</v>
      </c>
      <c r="C17" s="17">
        <v>0</v>
      </c>
      <c r="D17" s="18">
        <f t="shared" si="0"/>
        <v>4</v>
      </c>
      <c r="E17" s="19">
        <f t="shared" si="1"/>
        <v>4.5506257110352672E-4</v>
      </c>
    </row>
    <row r="18" spans="1:5" x14ac:dyDescent="0.3">
      <c r="A18" s="16">
        <v>1961</v>
      </c>
      <c r="B18" s="17">
        <v>1</v>
      </c>
      <c r="C18" s="17">
        <v>0</v>
      </c>
      <c r="D18" s="18">
        <f t="shared" si="0"/>
        <v>1</v>
      </c>
      <c r="E18" s="19">
        <f t="shared" si="1"/>
        <v>1.1376564277588168E-4</v>
      </c>
    </row>
    <row r="19" spans="1:5" x14ac:dyDescent="0.3">
      <c r="A19" s="16">
        <v>1962</v>
      </c>
      <c r="B19" s="17">
        <v>3</v>
      </c>
      <c r="C19" s="17">
        <v>0</v>
      </c>
      <c r="D19" s="18">
        <f t="shared" si="0"/>
        <v>3</v>
      </c>
      <c r="E19" s="19">
        <f t="shared" si="1"/>
        <v>3.4129692832764505E-4</v>
      </c>
    </row>
    <row r="20" spans="1:5" x14ac:dyDescent="0.3">
      <c r="A20" s="16">
        <v>1963</v>
      </c>
      <c r="B20" s="17">
        <v>1</v>
      </c>
      <c r="C20" s="17">
        <v>1</v>
      </c>
      <c r="D20" s="18">
        <f t="shared" si="0"/>
        <v>2</v>
      </c>
      <c r="E20" s="19">
        <f t="shared" si="1"/>
        <v>2.2753128555176336E-4</v>
      </c>
    </row>
    <row r="21" spans="1:5" x14ac:dyDescent="0.3">
      <c r="A21" s="16">
        <v>1964</v>
      </c>
      <c r="B21" s="17">
        <v>2</v>
      </c>
      <c r="C21" s="17">
        <v>0</v>
      </c>
      <c r="D21" s="18">
        <f t="shared" si="0"/>
        <v>2</v>
      </c>
      <c r="E21" s="19">
        <f t="shared" si="1"/>
        <v>2.2753128555176336E-4</v>
      </c>
    </row>
    <row r="22" spans="1:5" x14ac:dyDescent="0.3">
      <c r="A22" s="16">
        <v>1965</v>
      </c>
      <c r="B22" s="17">
        <v>2</v>
      </c>
      <c r="C22" s="17">
        <v>0</v>
      </c>
      <c r="D22" s="18">
        <f t="shared" si="0"/>
        <v>2</v>
      </c>
      <c r="E22" s="19">
        <f t="shared" si="1"/>
        <v>2.2753128555176336E-4</v>
      </c>
    </row>
    <row r="23" spans="1:5" x14ac:dyDescent="0.3">
      <c r="A23" s="16">
        <v>1966</v>
      </c>
      <c r="B23" s="17">
        <v>1</v>
      </c>
      <c r="C23" s="17">
        <v>0</v>
      </c>
      <c r="D23" s="18">
        <f t="shared" si="0"/>
        <v>1</v>
      </c>
      <c r="E23" s="19">
        <f t="shared" si="1"/>
        <v>1.1376564277588168E-4</v>
      </c>
    </row>
    <row r="24" spans="1:5" x14ac:dyDescent="0.3">
      <c r="A24" s="16">
        <v>1967</v>
      </c>
      <c r="B24" s="17">
        <v>4</v>
      </c>
      <c r="C24" s="17">
        <v>1</v>
      </c>
      <c r="D24" s="18">
        <f t="shared" si="0"/>
        <v>5</v>
      </c>
      <c r="E24" s="19">
        <f t="shared" si="1"/>
        <v>5.6882821387940839E-4</v>
      </c>
    </row>
    <row r="25" spans="1:5" x14ac:dyDescent="0.3">
      <c r="A25" s="16">
        <v>1968</v>
      </c>
      <c r="B25" s="17">
        <v>3</v>
      </c>
      <c r="C25" s="17">
        <v>0</v>
      </c>
      <c r="D25" s="18">
        <f t="shared" si="0"/>
        <v>3</v>
      </c>
      <c r="E25" s="19">
        <f t="shared" si="1"/>
        <v>3.4129692832764505E-4</v>
      </c>
    </row>
    <row r="26" spans="1:5" x14ac:dyDescent="0.3">
      <c r="A26" s="16">
        <v>1969</v>
      </c>
      <c r="B26" s="17">
        <v>2</v>
      </c>
      <c r="C26" s="17">
        <v>0</v>
      </c>
      <c r="D26" s="18">
        <f t="shared" si="0"/>
        <v>2</v>
      </c>
      <c r="E26" s="19">
        <f t="shared" si="1"/>
        <v>2.2753128555176336E-4</v>
      </c>
    </row>
    <row r="27" spans="1:5" x14ac:dyDescent="0.3">
      <c r="A27" s="16">
        <v>1970</v>
      </c>
      <c r="B27" s="17">
        <v>2</v>
      </c>
      <c r="C27" s="17">
        <v>0</v>
      </c>
      <c r="D27" s="18">
        <f t="shared" si="0"/>
        <v>2</v>
      </c>
      <c r="E27" s="19">
        <f t="shared" si="1"/>
        <v>2.2753128555176336E-4</v>
      </c>
    </row>
    <row r="28" spans="1:5" x14ac:dyDescent="0.3">
      <c r="A28" s="16">
        <v>1971</v>
      </c>
      <c r="B28" s="17">
        <v>5</v>
      </c>
      <c r="C28" s="17">
        <v>0</v>
      </c>
      <c r="D28" s="18">
        <f t="shared" si="0"/>
        <v>5</v>
      </c>
      <c r="E28" s="19">
        <f t="shared" si="1"/>
        <v>5.6882821387940839E-4</v>
      </c>
    </row>
    <row r="29" spans="1:5" x14ac:dyDescent="0.3">
      <c r="A29" s="16">
        <v>1972</v>
      </c>
      <c r="B29" s="17">
        <v>4</v>
      </c>
      <c r="C29" s="17">
        <v>1</v>
      </c>
      <c r="D29" s="18">
        <f t="shared" si="0"/>
        <v>5</v>
      </c>
      <c r="E29" s="19">
        <f t="shared" si="1"/>
        <v>5.6882821387940839E-4</v>
      </c>
    </row>
    <row r="30" spans="1:5" x14ac:dyDescent="0.3">
      <c r="A30" s="16">
        <v>1973</v>
      </c>
      <c r="B30" s="17">
        <v>10</v>
      </c>
      <c r="C30" s="17">
        <v>0</v>
      </c>
      <c r="D30" s="18">
        <f t="shared" si="0"/>
        <v>10</v>
      </c>
      <c r="E30" s="19">
        <f t="shared" si="1"/>
        <v>1.1376564277588168E-3</v>
      </c>
    </row>
    <row r="31" spans="1:5" x14ac:dyDescent="0.3">
      <c r="A31" s="16">
        <v>1974</v>
      </c>
      <c r="B31" s="17">
        <v>6</v>
      </c>
      <c r="C31" s="17">
        <v>1</v>
      </c>
      <c r="D31" s="18">
        <f t="shared" si="0"/>
        <v>7</v>
      </c>
      <c r="E31" s="19">
        <f t="shared" si="1"/>
        <v>7.9635949943117183E-4</v>
      </c>
    </row>
    <row r="32" spans="1:5" x14ac:dyDescent="0.3">
      <c r="A32" s="16">
        <v>1975</v>
      </c>
      <c r="B32" s="17">
        <v>7</v>
      </c>
      <c r="C32" s="17">
        <v>0</v>
      </c>
      <c r="D32" s="18">
        <f t="shared" si="0"/>
        <v>7</v>
      </c>
      <c r="E32" s="19">
        <f t="shared" si="1"/>
        <v>7.9635949943117183E-4</v>
      </c>
    </row>
    <row r="33" spans="1:5" x14ac:dyDescent="0.3">
      <c r="A33" s="16">
        <v>1976</v>
      </c>
      <c r="B33" s="17">
        <v>9</v>
      </c>
      <c r="C33" s="17">
        <v>0</v>
      </c>
      <c r="D33" s="18">
        <f t="shared" si="0"/>
        <v>9</v>
      </c>
      <c r="E33" s="19">
        <f t="shared" si="1"/>
        <v>1.0238907849829352E-3</v>
      </c>
    </row>
    <row r="34" spans="1:5" x14ac:dyDescent="0.3">
      <c r="A34" s="16">
        <v>1977</v>
      </c>
      <c r="B34" s="17">
        <v>6</v>
      </c>
      <c r="C34" s="17">
        <v>1</v>
      </c>
      <c r="D34" s="18">
        <f t="shared" si="0"/>
        <v>7</v>
      </c>
      <c r="E34" s="19">
        <f t="shared" si="1"/>
        <v>7.9635949943117183E-4</v>
      </c>
    </row>
    <row r="35" spans="1:5" x14ac:dyDescent="0.3">
      <c r="A35" s="16">
        <v>1978</v>
      </c>
      <c r="B35" s="17">
        <v>7</v>
      </c>
      <c r="C35" s="17">
        <v>0</v>
      </c>
      <c r="D35" s="18">
        <f t="shared" si="0"/>
        <v>7</v>
      </c>
      <c r="E35" s="19">
        <f t="shared" si="1"/>
        <v>7.9635949943117183E-4</v>
      </c>
    </row>
    <row r="36" spans="1:5" x14ac:dyDescent="0.3">
      <c r="A36" s="16">
        <v>1979</v>
      </c>
      <c r="B36" s="17">
        <v>10</v>
      </c>
      <c r="C36" s="17">
        <v>1</v>
      </c>
      <c r="D36" s="18">
        <f t="shared" si="0"/>
        <v>11</v>
      </c>
      <c r="E36" s="19">
        <f t="shared" si="1"/>
        <v>1.2514220705346986E-3</v>
      </c>
    </row>
    <row r="37" spans="1:5" x14ac:dyDescent="0.3">
      <c r="A37" s="16">
        <v>1980</v>
      </c>
      <c r="B37" s="17">
        <v>11</v>
      </c>
      <c r="C37" s="17">
        <v>0</v>
      </c>
      <c r="D37" s="18">
        <f t="shared" ref="D37:D68" si="2">B37+C37</f>
        <v>11</v>
      </c>
      <c r="E37" s="19">
        <f t="shared" ref="E37:E68" si="3">D37/$D$79</f>
        <v>1.2514220705346986E-3</v>
      </c>
    </row>
    <row r="38" spans="1:5" x14ac:dyDescent="0.3">
      <c r="A38" s="16">
        <v>1981</v>
      </c>
      <c r="B38" s="17">
        <v>12</v>
      </c>
      <c r="C38" s="17">
        <v>1</v>
      </c>
      <c r="D38" s="18">
        <f t="shared" si="2"/>
        <v>13</v>
      </c>
      <c r="E38" s="19">
        <f t="shared" si="3"/>
        <v>1.4789533560864618E-3</v>
      </c>
    </row>
    <row r="39" spans="1:5" x14ac:dyDescent="0.3">
      <c r="A39" s="16">
        <v>1982</v>
      </c>
      <c r="B39" s="17">
        <v>17</v>
      </c>
      <c r="C39" s="17">
        <v>0</v>
      </c>
      <c r="D39" s="18">
        <f t="shared" si="2"/>
        <v>17</v>
      </c>
      <c r="E39" s="19">
        <f t="shared" si="3"/>
        <v>1.9340159271899887E-3</v>
      </c>
    </row>
    <row r="40" spans="1:5" x14ac:dyDescent="0.3">
      <c r="A40" s="16">
        <v>1983</v>
      </c>
      <c r="B40" s="17">
        <v>11</v>
      </c>
      <c r="C40" s="17">
        <v>0</v>
      </c>
      <c r="D40" s="18">
        <f t="shared" si="2"/>
        <v>11</v>
      </c>
      <c r="E40" s="19">
        <f t="shared" si="3"/>
        <v>1.2514220705346986E-3</v>
      </c>
    </row>
    <row r="41" spans="1:5" x14ac:dyDescent="0.3">
      <c r="A41" s="16">
        <v>1984</v>
      </c>
      <c r="B41" s="17">
        <v>12</v>
      </c>
      <c r="C41" s="17">
        <v>0</v>
      </c>
      <c r="D41" s="18">
        <f t="shared" si="2"/>
        <v>12</v>
      </c>
      <c r="E41" s="19">
        <f t="shared" si="3"/>
        <v>1.3651877133105802E-3</v>
      </c>
    </row>
    <row r="42" spans="1:5" x14ac:dyDescent="0.3">
      <c r="A42" s="16">
        <v>1985</v>
      </c>
      <c r="B42" s="17">
        <v>9</v>
      </c>
      <c r="C42" s="17">
        <v>1</v>
      </c>
      <c r="D42" s="18">
        <f t="shared" si="2"/>
        <v>10</v>
      </c>
      <c r="E42" s="19">
        <f t="shared" si="3"/>
        <v>1.1376564277588168E-3</v>
      </c>
    </row>
    <row r="43" spans="1:5" x14ac:dyDescent="0.3">
      <c r="A43" s="16">
        <v>1986</v>
      </c>
      <c r="B43" s="17">
        <v>11</v>
      </c>
      <c r="C43" s="17">
        <v>2</v>
      </c>
      <c r="D43" s="18">
        <f t="shared" si="2"/>
        <v>13</v>
      </c>
      <c r="E43" s="19">
        <f t="shared" si="3"/>
        <v>1.4789533560864618E-3</v>
      </c>
    </row>
    <row r="44" spans="1:5" x14ac:dyDescent="0.3">
      <c r="A44" s="16">
        <v>1987</v>
      </c>
      <c r="B44" s="17">
        <v>8</v>
      </c>
      <c r="C44" s="17">
        <v>0</v>
      </c>
      <c r="D44" s="18">
        <f t="shared" si="2"/>
        <v>8</v>
      </c>
      <c r="E44" s="19">
        <f t="shared" si="3"/>
        <v>9.1012514220705344E-4</v>
      </c>
    </row>
    <row r="45" spans="1:5" x14ac:dyDescent="0.3">
      <c r="A45" s="16">
        <v>1988</v>
      </c>
      <c r="B45" s="17">
        <v>16</v>
      </c>
      <c r="C45" s="17">
        <v>2</v>
      </c>
      <c r="D45" s="18">
        <f t="shared" si="2"/>
        <v>18</v>
      </c>
      <c r="E45" s="19">
        <f t="shared" si="3"/>
        <v>2.0477815699658703E-3</v>
      </c>
    </row>
    <row r="46" spans="1:5" x14ac:dyDescent="0.3">
      <c r="A46" s="16">
        <v>1989</v>
      </c>
      <c r="B46" s="17">
        <v>15</v>
      </c>
      <c r="C46" s="17">
        <v>1</v>
      </c>
      <c r="D46" s="18">
        <f t="shared" si="2"/>
        <v>16</v>
      </c>
      <c r="E46" s="19">
        <f t="shared" si="3"/>
        <v>1.8202502844141069E-3</v>
      </c>
    </row>
    <row r="47" spans="1:5" x14ac:dyDescent="0.3">
      <c r="A47" s="16">
        <v>1990</v>
      </c>
      <c r="B47" s="17">
        <v>19</v>
      </c>
      <c r="C47" s="17">
        <v>3</v>
      </c>
      <c r="D47" s="18">
        <f t="shared" si="2"/>
        <v>22</v>
      </c>
      <c r="E47" s="19">
        <f t="shared" si="3"/>
        <v>2.5028441410693972E-3</v>
      </c>
    </row>
    <row r="48" spans="1:5" x14ac:dyDescent="0.3">
      <c r="A48" s="16">
        <v>1991</v>
      </c>
      <c r="B48" s="17">
        <v>16</v>
      </c>
      <c r="C48" s="17">
        <v>1</v>
      </c>
      <c r="D48" s="18">
        <f t="shared" si="2"/>
        <v>17</v>
      </c>
      <c r="E48" s="19">
        <f t="shared" si="3"/>
        <v>1.9340159271899887E-3</v>
      </c>
    </row>
    <row r="49" spans="1:5" x14ac:dyDescent="0.3">
      <c r="A49" s="16">
        <v>1992</v>
      </c>
      <c r="B49" s="17">
        <v>20</v>
      </c>
      <c r="C49" s="17">
        <v>3</v>
      </c>
      <c r="D49" s="18">
        <f t="shared" si="2"/>
        <v>23</v>
      </c>
      <c r="E49" s="19">
        <f t="shared" si="3"/>
        <v>2.6166097838452788E-3</v>
      </c>
    </row>
    <row r="50" spans="1:5" x14ac:dyDescent="0.3">
      <c r="A50" s="16">
        <v>1993</v>
      </c>
      <c r="B50" s="17">
        <v>24</v>
      </c>
      <c r="C50" s="17">
        <v>4</v>
      </c>
      <c r="D50" s="18">
        <f t="shared" si="2"/>
        <v>28</v>
      </c>
      <c r="E50" s="19">
        <f t="shared" si="3"/>
        <v>3.1854379977246873E-3</v>
      </c>
    </row>
    <row r="51" spans="1:5" x14ac:dyDescent="0.3">
      <c r="A51" s="16">
        <v>1994</v>
      </c>
      <c r="B51" s="17">
        <v>20</v>
      </c>
      <c r="C51" s="17">
        <v>2</v>
      </c>
      <c r="D51" s="18">
        <f t="shared" si="2"/>
        <v>22</v>
      </c>
      <c r="E51" s="19">
        <f t="shared" si="3"/>
        <v>2.5028441410693972E-3</v>
      </c>
    </row>
    <row r="52" spans="1:5" x14ac:dyDescent="0.3">
      <c r="A52" s="16">
        <v>1995</v>
      </c>
      <c r="B52" s="17">
        <v>23</v>
      </c>
      <c r="C52" s="17">
        <v>2</v>
      </c>
      <c r="D52" s="18">
        <f t="shared" si="2"/>
        <v>25</v>
      </c>
      <c r="E52" s="19">
        <f t="shared" si="3"/>
        <v>2.844141069397042E-3</v>
      </c>
    </row>
    <row r="53" spans="1:5" x14ac:dyDescent="0.3">
      <c r="A53" s="16">
        <v>1996</v>
      </c>
      <c r="B53" s="17">
        <v>21</v>
      </c>
      <c r="C53" s="17">
        <v>3</v>
      </c>
      <c r="D53" s="18">
        <f t="shared" si="2"/>
        <v>24</v>
      </c>
      <c r="E53" s="19">
        <f t="shared" si="3"/>
        <v>2.7303754266211604E-3</v>
      </c>
    </row>
    <row r="54" spans="1:5" x14ac:dyDescent="0.3">
      <c r="A54" s="16">
        <v>1997</v>
      </c>
      <c r="B54" s="17">
        <v>34</v>
      </c>
      <c r="C54" s="17">
        <v>4</v>
      </c>
      <c r="D54" s="18">
        <f t="shared" si="2"/>
        <v>38</v>
      </c>
      <c r="E54" s="19">
        <f t="shared" si="3"/>
        <v>4.3230944254835039E-3</v>
      </c>
    </row>
    <row r="55" spans="1:5" x14ac:dyDescent="0.3">
      <c r="A55" s="16">
        <v>1998</v>
      </c>
      <c r="B55" s="17">
        <v>32</v>
      </c>
      <c r="C55" s="17">
        <v>4</v>
      </c>
      <c r="D55" s="18">
        <f t="shared" si="2"/>
        <v>36</v>
      </c>
      <c r="E55" s="19">
        <f t="shared" si="3"/>
        <v>4.0955631399317407E-3</v>
      </c>
    </row>
    <row r="56" spans="1:5" x14ac:dyDescent="0.3">
      <c r="A56" s="16">
        <v>1999</v>
      </c>
      <c r="B56" s="17">
        <v>32</v>
      </c>
      <c r="C56" s="17">
        <v>7</v>
      </c>
      <c r="D56" s="18">
        <f t="shared" si="2"/>
        <v>39</v>
      </c>
      <c r="E56" s="19">
        <f t="shared" si="3"/>
        <v>4.4368600682593859E-3</v>
      </c>
    </row>
    <row r="57" spans="1:5" x14ac:dyDescent="0.3">
      <c r="A57" s="16">
        <v>2000</v>
      </c>
      <c r="B57" s="17">
        <v>33</v>
      </c>
      <c r="C57" s="17">
        <v>4</v>
      </c>
      <c r="D57" s="18">
        <f t="shared" si="2"/>
        <v>37</v>
      </c>
      <c r="E57" s="19">
        <f t="shared" si="3"/>
        <v>4.2093287827076227E-3</v>
      </c>
    </row>
    <row r="58" spans="1:5" x14ac:dyDescent="0.3">
      <c r="A58" s="16">
        <v>2001</v>
      </c>
      <c r="B58" s="17">
        <v>40</v>
      </c>
      <c r="C58" s="17">
        <v>5</v>
      </c>
      <c r="D58" s="18">
        <f t="shared" si="2"/>
        <v>45</v>
      </c>
      <c r="E58" s="19">
        <f t="shared" si="3"/>
        <v>5.1194539249146756E-3</v>
      </c>
    </row>
    <row r="59" spans="1:5" x14ac:dyDescent="0.3">
      <c r="A59" s="16">
        <v>2002</v>
      </c>
      <c r="B59" s="17">
        <v>44</v>
      </c>
      <c r="C59" s="17">
        <v>7</v>
      </c>
      <c r="D59" s="18">
        <f t="shared" si="2"/>
        <v>51</v>
      </c>
      <c r="E59" s="19">
        <f t="shared" si="3"/>
        <v>5.8020477815699661E-3</v>
      </c>
    </row>
    <row r="60" spans="1:5" x14ac:dyDescent="0.3">
      <c r="A60" s="16">
        <v>2003</v>
      </c>
      <c r="B60" s="17">
        <v>51</v>
      </c>
      <c r="C60" s="17">
        <v>8</v>
      </c>
      <c r="D60" s="18">
        <f t="shared" si="2"/>
        <v>59</v>
      </c>
      <c r="E60" s="19">
        <f t="shared" si="3"/>
        <v>6.712172923777019E-3</v>
      </c>
    </row>
    <row r="61" spans="1:5" x14ac:dyDescent="0.3">
      <c r="A61" s="16">
        <v>2004</v>
      </c>
      <c r="B61" s="17">
        <v>55</v>
      </c>
      <c r="C61" s="17">
        <v>9</v>
      </c>
      <c r="D61" s="18">
        <f t="shared" si="2"/>
        <v>64</v>
      </c>
      <c r="E61" s="19">
        <f t="shared" si="3"/>
        <v>7.2810011376564275E-3</v>
      </c>
    </row>
    <row r="62" spans="1:5" x14ac:dyDescent="0.3">
      <c r="A62" s="16">
        <v>2005</v>
      </c>
      <c r="B62" s="17">
        <v>67</v>
      </c>
      <c r="C62" s="17">
        <v>13</v>
      </c>
      <c r="D62" s="18">
        <f t="shared" si="2"/>
        <v>80</v>
      </c>
      <c r="E62" s="19">
        <f t="shared" si="3"/>
        <v>9.1012514220705342E-3</v>
      </c>
    </row>
    <row r="63" spans="1:5" x14ac:dyDescent="0.3">
      <c r="A63" s="16">
        <v>2006</v>
      </c>
      <c r="B63" s="17">
        <v>82</v>
      </c>
      <c r="C63" s="17">
        <v>14</v>
      </c>
      <c r="D63" s="18">
        <f t="shared" si="2"/>
        <v>96</v>
      </c>
      <c r="E63" s="19">
        <f t="shared" si="3"/>
        <v>1.0921501706484642E-2</v>
      </c>
    </row>
    <row r="64" spans="1:5" x14ac:dyDescent="0.3">
      <c r="A64" s="16">
        <v>2007</v>
      </c>
      <c r="B64" s="17">
        <v>74</v>
      </c>
      <c r="C64" s="17">
        <v>14</v>
      </c>
      <c r="D64" s="18">
        <f t="shared" si="2"/>
        <v>88</v>
      </c>
      <c r="E64" s="19">
        <f t="shared" si="3"/>
        <v>1.0011376564277589E-2</v>
      </c>
    </row>
    <row r="65" spans="1:5" x14ac:dyDescent="0.3">
      <c r="A65" s="16">
        <v>2008</v>
      </c>
      <c r="B65" s="17">
        <v>113</v>
      </c>
      <c r="C65" s="17">
        <v>22</v>
      </c>
      <c r="D65" s="18">
        <f t="shared" si="2"/>
        <v>135</v>
      </c>
      <c r="E65" s="19">
        <f t="shared" si="3"/>
        <v>1.5358361774744027E-2</v>
      </c>
    </row>
    <row r="66" spans="1:5" x14ac:dyDescent="0.3">
      <c r="A66" s="16">
        <v>2009</v>
      </c>
      <c r="B66" s="17">
        <v>118</v>
      </c>
      <c r="C66" s="17">
        <v>34</v>
      </c>
      <c r="D66" s="18">
        <f t="shared" si="2"/>
        <v>152</v>
      </c>
      <c r="E66" s="19">
        <f t="shared" si="3"/>
        <v>1.7292377701934016E-2</v>
      </c>
    </row>
    <row r="67" spans="1:5" x14ac:dyDescent="0.3">
      <c r="A67" s="16">
        <v>2010</v>
      </c>
      <c r="B67" s="17">
        <v>153</v>
      </c>
      <c r="C67" s="17">
        <v>39</v>
      </c>
      <c r="D67" s="18">
        <f t="shared" si="2"/>
        <v>192</v>
      </c>
      <c r="E67" s="19">
        <f t="shared" si="3"/>
        <v>2.1843003412969283E-2</v>
      </c>
    </row>
    <row r="68" spans="1:5" x14ac:dyDescent="0.3">
      <c r="A68" s="16">
        <v>2011</v>
      </c>
      <c r="B68" s="17">
        <v>145</v>
      </c>
      <c r="C68" s="17">
        <v>40</v>
      </c>
      <c r="D68" s="18">
        <f t="shared" si="2"/>
        <v>185</v>
      </c>
      <c r="E68" s="19">
        <f t="shared" si="3"/>
        <v>2.104664391353811E-2</v>
      </c>
    </row>
    <row r="69" spans="1:5" x14ac:dyDescent="0.3">
      <c r="A69" s="16">
        <v>2012</v>
      </c>
      <c r="B69" s="17">
        <v>173</v>
      </c>
      <c r="C69" s="17">
        <v>63</v>
      </c>
      <c r="D69" s="18">
        <f t="shared" ref="D69:D100" si="4">B69+C69</f>
        <v>236</v>
      </c>
      <c r="E69" s="19">
        <f t="shared" ref="E69:E100" si="5">D69/$D$79</f>
        <v>2.6848691695108076E-2</v>
      </c>
    </row>
    <row r="70" spans="1:5" x14ac:dyDescent="0.3">
      <c r="A70" s="16">
        <v>2013</v>
      </c>
      <c r="B70" s="17">
        <v>225</v>
      </c>
      <c r="C70" s="17">
        <v>61</v>
      </c>
      <c r="D70" s="18">
        <f t="shared" si="4"/>
        <v>286</v>
      </c>
      <c r="E70" s="19">
        <f t="shared" si="5"/>
        <v>3.2536973833902159E-2</v>
      </c>
    </row>
    <row r="71" spans="1:5" x14ac:dyDescent="0.3">
      <c r="A71" s="16">
        <v>2014</v>
      </c>
      <c r="B71" s="17">
        <v>264</v>
      </c>
      <c r="C71" s="17">
        <v>88</v>
      </c>
      <c r="D71" s="18">
        <f t="shared" si="4"/>
        <v>352</v>
      </c>
      <c r="E71" s="19">
        <f t="shared" si="5"/>
        <v>4.0045506257110355E-2</v>
      </c>
    </row>
    <row r="72" spans="1:5" x14ac:dyDescent="0.3">
      <c r="A72" s="16">
        <v>2015</v>
      </c>
      <c r="B72" s="17">
        <v>396</v>
      </c>
      <c r="C72" s="17">
        <v>159</v>
      </c>
      <c r="D72" s="18">
        <f t="shared" si="4"/>
        <v>555</v>
      </c>
      <c r="E72" s="19">
        <f t="shared" si="5"/>
        <v>6.313993174061433E-2</v>
      </c>
    </row>
    <row r="73" spans="1:5" x14ac:dyDescent="0.3">
      <c r="A73" s="16">
        <v>2016</v>
      </c>
      <c r="B73" s="17">
        <v>658</v>
      </c>
      <c r="C73" s="17">
        <v>243</v>
      </c>
      <c r="D73" s="18">
        <f t="shared" si="4"/>
        <v>901</v>
      </c>
      <c r="E73" s="19">
        <f t="shared" si="5"/>
        <v>0.1025028441410694</v>
      </c>
    </row>
    <row r="74" spans="1:5" x14ac:dyDescent="0.3">
      <c r="A74" s="16">
        <v>2017</v>
      </c>
      <c r="B74" s="17">
        <v>765</v>
      </c>
      <c r="C74" s="17">
        <v>265</v>
      </c>
      <c r="D74" s="18">
        <f t="shared" si="4"/>
        <v>1030</v>
      </c>
      <c r="E74" s="19">
        <f t="shared" si="5"/>
        <v>0.11717861205915814</v>
      </c>
    </row>
    <row r="75" spans="1:5" x14ac:dyDescent="0.3">
      <c r="A75" s="16">
        <v>2018</v>
      </c>
      <c r="B75" s="17">
        <v>767</v>
      </c>
      <c r="C75" s="17">
        <v>379</v>
      </c>
      <c r="D75" s="18">
        <f t="shared" si="4"/>
        <v>1146</v>
      </c>
      <c r="E75" s="19">
        <f t="shared" si="5"/>
        <v>0.13037542662116042</v>
      </c>
    </row>
    <row r="76" spans="1:5" x14ac:dyDescent="0.3">
      <c r="A76" s="16">
        <v>2019</v>
      </c>
      <c r="B76" s="17">
        <v>633</v>
      </c>
      <c r="C76" s="17">
        <v>397</v>
      </c>
      <c r="D76" s="18">
        <f t="shared" si="4"/>
        <v>1030</v>
      </c>
      <c r="E76" s="19">
        <f t="shared" si="5"/>
        <v>0.11717861205915814</v>
      </c>
    </row>
    <row r="77" spans="1:5" x14ac:dyDescent="0.3">
      <c r="A77" s="16">
        <v>2020</v>
      </c>
      <c r="B77" s="17">
        <v>517</v>
      </c>
      <c r="C77" s="17">
        <v>436</v>
      </c>
      <c r="D77" s="18">
        <f t="shared" si="4"/>
        <v>953</v>
      </c>
      <c r="E77" s="19">
        <f t="shared" si="5"/>
        <v>0.10841865756541524</v>
      </c>
    </row>
    <row r="78" spans="1:5" x14ac:dyDescent="0.3">
      <c r="A78" s="16">
        <v>2021</v>
      </c>
      <c r="B78" s="17">
        <v>277</v>
      </c>
      <c r="C78" s="17">
        <v>315</v>
      </c>
      <c r="D78" s="18">
        <f t="shared" si="4"/>
        <v>592</v>
      </c>
      <c r="E78" s="19">
        <f t="shared" si="5"/>
        <v>6.7349260523321963E-2</v>
      </c>
    </row>
    <row r="79" spans="1:5" x14ac:dyDescent="0.3">
      <c r="A79" s="20" t="s">
        <v>14</v>
      </c>
      <c r="B79" s="21">
        <f>SUM(B5:B78)</f>
        <v>6126</v>
      </c>
      <c r="C79" s="21">
        <f>SUM(C5:C78)</f>
        <v>2664</v>
      </c>
      <c r="D79" s="21">
        <f>SUM(D5:D78)</f>
        <v>8790</v>
      </c>
      <c r="E79" s="22">
        <f>SUM(E5:E78)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C8C8C"/>
  </sheetPr>
  <dimension ref="A1:C56"/>
  <sheetViews>
    <sheetView showGridLines="0" topLeftCell="A40" zoomScaleNormal="100" workbookViewId="0">
      <selection activeCell="G8" sqref="G8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</cols>
  <sheetData>
    <row r="1" spans="1:3" ht="21" x14ac:dyDescent="0.4">
      <c r="A1" s="13" t="s">
        <v>15</v>
      </c>
    </row>
    <row r="2" spans="1:3" x14ac:dyDescent="0.3">
      <c r="A2" s="14"/>
    </row>
    <row r="3" spans="1:3" x14ac:dyDescent="0.3">
      <c r="A3" s="23" t="s">
        <v>16</v>
      </c>
    </row>
    <row r="4" spans="1:3" x14ac:dyDescent="0.3">
      <c r="A4" s="15" t="s">
        <v>17</v>
      </c>
      <c r="B4" s="15" t="s">
        <v>18</v>
      </c>
      <c r="C4" s="15" t="s">
        <v>13</v>
      </c>
    </row>
    <row r="5" spans="1:3" x14ac:dyDescent="0.3">
      <c r="A5" s="24" t="s">
        <v>19</v>
      </c>
      <c r="B5" s="17">
        <v>6126</v>
      </c>
      <c r="C5" s="19">
        <f>B5/$B$7</f>
        <v>0.69692832764505119</v>
      </c>
    </row>
    <row r="6" spans="1:3" x14ac:dyDescent="0.3">
      <c r="A6" s="24" t="s">
        <v>20</v>
      </c>
      <c r="B6" s="17">
        <v>2664</v>
      </c>
      <c r="C6" s="19">
        <f>B6/$B$7</f>
        <v>0.30307167235494881</v>
      </c>
    </row>
    <row r="7" spans="1:3" x14ac:dyDescent="0.3">
      <c r="A7" s="25" t="s">
        <v>14</v>
      </c>
      <c r="B7" s="26">
        <f>SUM(B5:B6)</f>
        <v>8790</v>
      </c>
      <c r="C7" s="27">
        <f>SUM(C5:C6)</f>
        <v>1</v>
      </c>
    </row>
    <row r="9" spans="1:3" x14ac:dyDescent="0.3">
      <c r="A9" s="23" t="s">
        <v>21</v>
      </c>
    </row>
    <row r="10" spans="1:3" x14ac:dyDescent="0.3">
      <c r="A10" s="15" t="s">
        <v>22</v>
      </c>
      <c r="B10" s="15" t="s">
        <v>18</v>
      </c>
      <c r="C10" s="15" t="s">
        <v>13</v>
      </c>
    </row>
    <row r="11" spans="1:3" x14ac:dyDescent="0.3">
      <c r="A11" s="24" t="s">
        <v>23</v>
      </c>
      <c r="B11" s="17">
        <v>3240</v>
      </c>
      <c r="C11" s="19">
        <f t="shared" ref="C11:C19" si="0">B11/$B$7</f>
        <v>0.36860068259385664</v>
      </c>
    </row>
    <row r="12" spans="1:3" x14ac:dyDescent="0.3">
      <c r="A12" s="24" t="s">
        <v>24</v>
      </c>
      <c r="B12" s="17">
        <v>1057</v>
      </c>
      <c r="C12" s="19">
        <f t="shared" si="0"/>
        <v>0.12025028441410694</v>
      </c>
    </row>
    <row r="13" spans="1:3" x14ac:dyDescent="0.3">
      <c r="A13" s="24" t="s">
        <v>25</v>
      </c>
      <c r="B13" s="17">
        <v>638</v>
      </c>
      <c r="C13" s="19">
        <f t="shared" si="0"/>
        <v>7.2582480091012508E-2</v>
      </c>
    </row>
    <row r="14" spans="1:3" x14ac:dyDescent="0.3">
      <c r="A14" s="24" t="s">
        <v>26</v>
      </c>
      <c r="B14" s="17">
        <v>421</v>
      </c>
      <c r="C14" s="19">
        <f t="shared" si="0"/>
        <v>4.7895335608646186E-2</v>
      </c>
    </row>
    <row r="15" spans="1:3" x14ac:dyDescent="0.3">
      <c r="A15" s="24" t="s">
        <v>27</v>
      </c>
      <c r="B15" s="17">
        <v>271</v>
      </c>
      <c r="C15" s="19">
        <f t="shared" si="0"/>
        <v>3.0830489192263937E-2</v>
      </c>
    </row>
    <row r="16" spans="1:3" x14ac:dyDescent="0.3">
      <c r="A16" s="24" t="s">
        <v>28</v>
      </c>
      <c r="B16" s="17">
        <v>259</v>
      </c>
      <c r="C16" s="19">
        <f t="shared" si="0"/>
        <v>2.9465301478953355E-2</v>
      </c>
    </row>
    <row r="17" spans="1:3" x14ac:dyDescent="0.3">
      <c r="A17" s="24" t="s">
        <v>29</v>
      </c>
      <c r="B17" s="17">
        <v>214</v>
      </c>
      <c r="C17" s="19">
        <f t="shared" si="0"/>
        <v>2.434584755403868E-2</v>
      </c>
    </row>
    <row r="18" spans="1:3" x14ac:dyDescent="0.3">
      <c r="A18" s="24" t="s">
        <v>30</v>
      </c>
      <c r="B18" s="17">
        <v>213</v>
      </c>
      <c r="C18" s="19">
        <f t="shared" si="0"/>
        <v>2.4232081911262797E-2</v>
      </c>
    </row>
    <row r="19" spans="1:3" x14ac:dyDescent="0.3">
      <c r="A19" s="24" t="s">
        <v>31</v>
      </c>
      <c r="B19" s="17">
        <v>182</v>
      </c>
      <c r="C19" s="19">
        <f t="shared" si="0"/>
        <v>2.0705346985210465E-2</v>
      </c>
    </row>
    <row r="20" spans="1:3" x14ac:dyDescent="0.3">
      <c r="A20" s="14"/>
    </row>
    <row r="22" spans="1:3" x14ac:dyDescent="0.3">
      <c r="A22" s="23" t="s">
        <v>32</v>
      </c>
    </row>
    <row r="23" spans="1:3" x14ac:dyDescent="0.3">
      <c r="A23" s="15" t="s">
        <v>33</v>
      </c>
      <c r="B23" s="15" t="s">
        <v>18</v>
      </c>
      <c r="C23" s="15" t="s">
        <v>13</v>
      </c>
    </row>
    <row r="24" spans="1:3" x14ac:dyDescent="0.3">
      <c r="A24" s="24" t="s">
        <v>34</v>
      </c>
      <c r="B24" s="17">
        <v>2752</v>
      </c>
      <c r="C24" s="19">
        <f t="shared" ref="C24:C33" si="1">B24/$B$7</f>
        <v>0.31308304891922639</v>
      </c>
    </row>
    <row r="25" spans="1:3" x14ac:dyDescent="0.3">
      <c r="A25" s="24" t="s">
        <v>35</v>
      </c>
      <c r="B25" s="17">
        <v>2426</v>
      </c>
      <c r="C25" s="19">
        <f t="shared" si="1"/>
        <v>0.27599544937428899</v>
      </c>
    </row>
    <row r="26" spans="1:3" x14ac:dyDescent="0.3">
      <c r="A26" s="24" t="s">
        <v>36</v>
      </c>
      <c r="B26" s="17">
        <v>1674</v>
      </c>
      <c r="C26" s="19">
        <f t="shared" si="1"/>
        <v>0.19044368600682593</v>
      </c>
    </row>
    <row r="27" spans="1:3" x14ac:dyDescent="0.3">
      <c r="A27" s="24" t="s">
        <v>37</v>
      </c>
      <c r="B27" s="17">
        <v>1349</v>
      </c>
      <c r="C27" s="19">
        <f t="shared" si="1"/>
        <v>0.15346985210466438</v>
      </c>
    </row>
    <row r="28" spans="1:3" x14ac:dyDescent="0.3">
      <c r="A28" s="24" t="s">
        <v>38</v>
      </c>
      <c r="B28" s="17">
        <v>869</v>
      </c>
      <c r="C28" s="19">
        <f t="shared" si="1"/>
        <v>9.8862343572241176E-2</v>
      </c>
    </row>
    <row r="29" spans="1:3" x14ac:dyDescent="0.3">
      <c r="A29" s="24" t="s">
        <v>39</v>
      </c>
      <c r="B29" s="17">
        <v>859</v>
      </c>
      <c r="C29" s="19">
        <f t="shared" si="1"/>
        <v>9.7724687144482361E-2</v>
      </c>
    </row>
    <row r="30" spans="1:3" x14ac:dyDescent="0.3">
      <c r="A30" s="24" t="s">
        <v>40</v>
      </c>
      <c r="B30" s="17">
        <v>762</v>
      </c>
      <c r="C30" s="19">
        <f t="shared" si="1"/>
        <v>8.6689419795221836E-2</v>
      </c>
    </row>
    <row r="31" spans="1:3" x14ac:dyDescent="0.3">
      <c r="A31" s="24" t="s">
        <v>41</v>
      </c>
      <c r="B31" s="17">
        <v>756</v>
      </c>
      <c r="C31" s="19">
        <f t="shared" si="1"/>
        <v>8.6006825938566553E-2</v>
      </c>
    </row>
    <row r="32" spans="1:3" x14ac:dyDescent="0.3">
      <c r="A32" s="24" t="s">
        <v>42</v>
      </c>
      <c r="B32" s="17">
        <v>641</v>
      </c>
      <c r="C32" s="19">
        <f t="shared" si="1"/>
        <v>7.2923777019340164E-2</v>
      </c>
    </row>
    <row r="33" spans="1:3" x14ac:dyDescent="0.3">
      <c r="A33" s="24" t="s">
        <v>43</v>
      </c>
      <c r="B33" s="17">
        <v>616</v>
      </c>
      <c r="C33" s="19">
        <f t="shared" si="1"/>
        <v>7.0079635949943112E-2</v>
      </c>
    </row>
    <row r="35" spans="1:3" x14ac:dyDescent="0.3">
      <c r="A35" s="23" t="s">
        <v>44</v>
      </c>
    </row>
    <row r="36" spans="1:3" x14ac:dyDescent="0.3">
      <c r="A36" s="15" t="s">
        <v>45</v>
      </c>
      <c r="B36" s="15" t="s">
        <v>18</v>
      </c>
      <c r="C36" s="15" t="s">
        <v>13</v>
      </c>
    </row>
    <row r="37" spans="1:3" x14ac:dyDescent="0.3">
      <c r="A37" s="24" t="s">
        <v>46</v>
      </c>
      <c r="B37" s="17">
        <v>3205</v>
      </c>
      <c r="C37" s="19">
        <f t="shared" ref="C37:C46" si="2">B37/$B$7</f>
        <v>0.36461888509670082</v>
      </c>
    </row>
    <row r="38" spans="1:3" x14ac:dyDescent="0.3">
      <c r="A38" s="24" t="s">
        <v>47</v>
      </c>
      <c r="B38" s="17">
        <v>2157</v>
      </c>
      <c r="C38" s="19">
        <f t="shared" si="2"/>
        <v>0.2453924914675768</v>
      </c>
    </row>
    <row r="39" spans="1:3" x14ac:dyDescent="0.3">
      <c r="A39" s="24" t="s">
        <v>48</v>
      </c>
      <c r="B39" s="17">
        <v>861</v>
      </c>
      <c r="C39" s="19">
        <f t="shared" si="2"/>
        <v>9.7952218430034127E-2</v>
      </c>
    </row>
    <row r="40" spans="1:3" x14ac:dyDescent="0.3">
      <c r="A40" s="24" t="s">
        <v>49</v>
      </c>
      <c r="B40" s="17">
        <v>799</v>
      </c>
      <c r="C40" s="19">
        <f t="shared" si="2"/>
        <v>9.089874857792947E-2</v>
      </c>
    </row>
    <row r="41" spans="1:3" x14ac:dyDescent="0.3">
      <c r="A41" s="24" t="s">
        <v>50</v>
      </c>
      <c r="B41" s="17">
        <v>490</v>
      </c>
      <c r="C41" s="19">
        <f t="shared" si="2"/>
        <v>5.5745164960182024E-2</v>
      </c>
    </row>
    <row r="42" spans="1:3" x14ac:dyDescent="0.3">
      <c r="A42" s="24" t="s">
        <v>51</v>
      </c>
      <c r="B42" s="17">
        <v>333</v>
      </c>
      <c r="C42" s="19">
        <f t="shared" si="2"/>
        <v>3.7883959044368601E-2</v>
      </c>
    </row>
    <row r="43" spans="1:3" x14ac:dyDescent="0.3">
      <c r="A43" s="24" t="s">
        <v>52</v>
      </c>
      <c r="B43" s="17">
        <v>306</v>
      </c>
      <c r="C43" s="19">
        <f t="shared" si="2"/>
        <v>3.4812286689419797E-2</v>
      </c>
    </row>
    <row r="44" spans="1:3" x14ac:dyDescent="0.3">
      <c r="A44" s="24" t="s">
        <v>53</v>
      </c>
      <c r="B44" s="17">
        <v>287</v>
      </c>
      <c r="C44" s="19">
        <f t="shared" si="2"/>
        <v>3.2650739476678042E-2</v>
      </c>
    </row>
    <row r="45" spans="1:3" x14ac:dyDescent="0.3">
      <c r="A45" s="24" t="s">
        <v>54</v>
      </c>
      <c r="B45" s="17">
        <v>220</v>
      </c>
      <c r="C45" s="19">
        <f t="shared" si="2"/>
        <v>2.502844141069397E-2</v>
      </c>
    </row>
    <row r="46" spans="1:3" x14ac:dyDescent="0.3">
      <c r="A46" s="24" t="s">
        <v>55</v>
      </c>
      <c r="B46" s="17">
        <v>79</v>
      </c>
      <c r="C46" s="19">
        <f t="shared" si="2"/>
        <v>8.987485779294653E-3</v>
      </c>
    </row>
    <row r="48" spans="1:3" x14ac:dyDescent="0.3">
      <c r="A48" s="23" t="s">
        <v>56</v>
      </c>
    </row>
    <row r="49" spans="1:2" x14ac:dyDescent="0.3">
      <c r="A49" s="15" t="s">
        <v>57</v>
      </c>
      <c r="B49" s="15" t="s">
        <v>58</v>
      </c>
    </row>
    <row r="50" spans="1:2" x14ac:dyDescent="0.3">
      <c r="A50" s="24" t="s">
        <v>59</v>
      </c>
      <c r="B50" s="28">
        <v>99.584884000000002</v>
      </c>
    </row>
    <row r="51" spans="1:2" x14ac:dyDescent="0.3">
      <c r="A51" s="24" t="s">
        <v>60</v>
      </c>
      <c r="B51" s="28">
        <v>28.283225000000002</v>
      </c>
    </row>
    <row r="52" spans="1:2" x14ac:dyDescent="0.3">
      <c r="A52" s="24" t="s">
        <v>61</v>
      </c>
      <c r="B52" s="28">
        <v>3</v>
      </c>
    </row>
    <row r="53" spans="1:2" x14ac:dyDescent="0.3">
      <c r="A53" s="24" t="s">
        <v>62</v>
      </c>
      <c r="B53" s="28">
        <v>87</v>
      </c>
    </row>
    <row r="54" spans="1:2" x14ac:dyDescent="0.3">
      <c r="A54" s="24" t="s">
        <v>63</v>
      </c>
      <c r="B54" s="28">
        <v>98</v>
      </c>
    </row>
    <row r="55" spans="1:2" x14ac:dyDescent="0.3">
      <c r="A55" s="24" t="s">
        <v>64</v>
      </c>
      <c r="B55" s="28">
        <v>114</v>
      </c>
    </row>
    <row r="56" spans="1:2" x14ac:dyDescent="0.3">
      <c r="A56" s="24" t="s">
        <v>65</v>
      </c>
      <c r="B56" s="28">
        <v>312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C8C8C"/>
  </sheetPr>
  <dimension ref="A1:G83"/>
  <sheetViews>
    <sheetView showGridLines="0" zoomScaleNormal="100" workbookViewId="0">
      <pane ySplit="4" topLeftCell="A5" activePane="bottomLeft" state="frozen"/>
      <selection pane="bottomLeft" activeCell="J16" sqref="J16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8" customWidth="1"/>
    <col min="4" max="4" width="20" customWidth="1"/>
    <col min="5" max="5" width="3" customWidth="1"/>
    <col min="6" max="6" width="34" customWidth="1"/>
    <col min="7" max="7" width="18" customWidth="1"/>
  </cols>
  <sheetData>
    <row r="1" spans="1:7" ht="21" x14ac:dyDescent="0.4">
      <c r="A1" s="13" t="s">
        <v>66</v>
      </c>
    </row>
    <row r="2" spans="1:7" x14ac:dyDescent="0.3">
      <c r="A2" s="14" t="s">
        <v>67</v>
      </c>
    </row>
    <row r="4" spans="1:7" x14ac:dyDescent="0.3">
      <c r="A4" s="15" t="s">
        <v>68</v>
      </c>
      <c r="B4" s="15" t="s">
        <v>69</v>
      </c>
      <c r="C4" s="15" t="s">
        <v>70</v>
      </c>
      <c r="D4" s="15" t="s">
        <v>71</v>
      </c>
      <c r="F4" s="23" t="s">
        <v>72</v>
      </c>
    </row>
    <row r="5" spans="1:7" x14ac:dyDescent="0.3">
      <c r="A5" s="29">
        <f>Data_Yearly!A5</f>
        <v>1925</v>
      </c>
      <c r="B5" s="18">
        <f>Data_Yearly!D5</f>
        <v>1</v>
      </c>
      <c r="C5" s="18">
        <f t="shared" ref="C5:C36" si="0">FORECAST(A5,$B$5:$B$78,$A$5:$A$78)</f>
        <v>-283.73624632501742</v>
      </c>
      <c r="D5" s="18"/>
      <c r="F5" s="15" t="s">
        <v>73</v>
      </c>
      <c r="G5" s="15" t="s">
        <v>74</v>
      </c>
    </row>
    <row r="6" spans="1:7" x14ac:dyDescent="0.3">
      <c r="A6" s="29">
        <f>Data_Yearly!A6</f>
        <v>1942</v>
      </c>
      <c r="B6" s="18">
        <f>Data_Yearly!D6</f>
        <v>2</v>
      </c>
      <c r="C6" s="18">
        <f t="shared" si="0"/>
        <v>-166.92651209736687</v>
      </c>
      <c r="D6" s="18"/>
      <c r="F6" s="24" t="s">
        <v>75</v>
      </c>
      <c r="G6" s="30" t="str">
        <f>A5&amp;"–"&amp;A63</f>
        <v>1925–2006</v>
      </c>
    </row>
    <row r="7" spans="1:7" x14ac:dyDescent="0.3">
      <c r="A7" s="29">
        <f>Data_Yearly!A7</f>
        <v>1943</v>
      </c>
      <c r="B7" s="18">
        <f>Data_Yearly!D7</f>
        <v>3</v>
      </c>
      <c r="C7" s="18">
        <f t="shared" si="0"/>
        <v>-160.0553512604456</v>
      </c>
      <c r="D7" s="18"/>
      <c r="F7" s="24" t="s">
        <v>76</v>
      </c>
      <c r="G7" s="30" t="str">
        <f>A64&amp;"–"&amp;A78</f>
        <v>2007–2021</v>
      </c>
    </row>
    <row r="8" spans="1:7" x14ac:dyDescent="0.3">
      <c r="A8" s="29">
        <f>Data_Yearly!A8</f>
        <v>1944</v>
      </c>
      <c r="B8" s="18">
        <f>Data_Yearly!D8</f>
        <v>3</v>
      </c>
      <c r="C8" s="18">
        <f t="shared" si="0"/>
        <v>-153.18419042352434</v>
      </c>
      <c r="D8" s="18"/>
      <c r="F8" s="24" t="s">
        <v>77</v>
      </c>
      <c r="G8" s="30" t="str">
        <f>COUNT(B5:B63)&amp;" / "&amp;COUNT(B64:B78)</f>
        <v>59 / 15</v>
      </c>
    </row>
    <row r="9" spans="1:7" x14ac:dyDescent="0.3">
      <c r="A9" s="29">
        <f>Data_Yearly!A9</f>
        <v>1945</v>
      </c>
      <c r="B9" s="18">
        <f>Data_Yearly!D9</f>
        <v>4</v>
      </c>
      <c r="C9" s="18">
        <f t="shared" si="0"/>
        <v>-146.31302958660308</v>
      </c>
      <c r="D9" s="18"/>
      <c r="F9" s="24" t="s">
        <v>78</v>
      </c>
      <c r="G9" s="31">
        <f>SLOPE(B5:B63,A5:A63)</f>
        <v>0.80830775646503739</v>
      </c>
    </row>
    <row r="10" spans="1:7" x14ac:dyDescent="0.3">
      <c r="A10" s="29">
        <f>Data_Yearly!A10</f>
        <v>1946</v>
      </c>
      <c r="B10" s="18">
        <f>Data_Yearly!D10</f>
        <v>2</v>
      </c>
      <c r="C10" s="18">
        <f t="shared" si="0"/>
        <v>-139.44186874968364</v>
      </c>
      <c r="D10" s="18"/>
      <c r="F10" s="24" t="s">
        <v>79</v>
      </c>
      <c r="G10" s="32">
        <f>INTERCEPT(B5:B63,A5:A63)</f>
        <v>-1580.8724866086734</v>
      </c>
    </row>
    <row r="11" spans="1:7" x14ac:dyDescent="0.3">
      <c r="A11" s="29">
        <f>Data_Yearly!A11</f>
        <v>1947</v>
      </c>
      <c r="B11" s="18">
        <f>Data_Yearly!D11</f>
        <v>1</v>
      </c>
      <c r="C11" s="18">
        <f t="shared" si="0"/>
        <v>-132.57070791276237</v>
      </c>
      <c r="D11" s="18"/>
    </row>
    <row r="12" spans="1:7" x14ac:dyDescent="0.3">
      <c r="A12" s="29">
        <f>Data_Yearly!A12</f>
        <v>1954</v>
      </c>
      <c r="B12" s="18">
        <f>Data_Yearly!D12</f>
        <v>2</v>
      </c>
      <c r="C12" s="18">
        <f t="shared" si="0"/>
        <v>-84.472582054317172</v>
      </c>
      <c r="D12" s="18"/>
      <c r="F12" s="23" t="s">
        <v>80</v>
      </c>
    </row>
    <row r="13" spans="1:7" x14ac:dyDescent="0.3">
      <c r="A13" s="29">
        <f>Data_Yearly!A13</f>
        <v>1955</v>
      </c>
      <c r="B13" s="18">
        <f>Data_Yearly!D13</f>
        <v>3</v>
      </c>
      <c r="C13" s="18">
        <f t="shared" si="0"/>
        <v>-77.601421217395909</v>
      </c>
      <c r="D13" s="18"/>
      <c r="F13" s="15" t="s">
        <v>81</v>
      </c>
      <c r="G13" s="15" t="s">
        <v>74</v>
      </c>
    </row>
    <row r="14" spans="1:7" x14ac:dyDescent="0.3">
      <c r="A14" s="29">
        <f>Data_Yearly!A14</f>
        <v>1956</v>
      </c>
      <c r="B14" s="18">
        <f>Data_Yearly!D14</f>
        <v>2</v>
      </c>
      <c r="C14" s="18">
        <f t="shared" si="0"/>
        <v>-70.730260380476466</v>
      </c>
      <c r="D14" s="18"/>
      <c r="F14" s="24" t="s">
        <v>82</v>
      </c>
      <c r="G14" s="32">
        <f>SUMPRODUCT(ABS(B64:B78-D64:D78))/COUNT(B64:B78)</f>
        <v>475.1406650880881</v>
      </c>
    </row>
    <row r="15" spans="1:7" x14ac:dyDescent="0.3">
      <c r="A15" s="29">
        <f>Data_Yearly!A15</f>
        <v>1958</v>
      </c>
      <c r="B15" s="18">
        <f>Data_Yearly!D15</f>
        <v>3</v>
      </c>
      <c r="C15" s="18">
        <f t="shared" si="0"/>
        <v>-56.98793870663394</v>
      </c>
      <c r="D15" s="18"/>
      <c r="F15" s="24" t="s">
        <v>83</v>
      </c>
      <c r="G15" s="32">
        <f>SQRT(SUMPRODUCT((B64:B78-D64:D78)^2)/COUNT(B64:B78))</f>
        <v>603.20014984573686</v>
      </c>
    </row>
    <row r="16" spans="1:7" x14ac:dyDescent="0.3">
      <c r="A16" s="29">
        <f>Data_Yearly!A16</f>
        <v>1959</v>
      </c>
      <c r="B16" s="18">
        <f>Data_Yearly!D16</f>
        <v>1</v>
      </c>
      <c r="C16" s="18">
        <f t="shared" si="0"/>
        <v>-50.116777869714497</v>
      </c>
      <c r="D16" s="18"/>
      <c r="F16" s="24" t="s">
        <v>84</v>
      </c>
      <c r="G16" s="33">
        <f>1-SUMPRODUCT((B64:B78-D64:D78)^2)/SUMPRODUCT((B64:B78-AVERAGE(B64:B78))^2)</f>
        <v>-1.5930288554610206</v>
      </c>
    </row>
    <row r="17" spans="1:7" x14ac:dyDescent="0.3">
      <c r="A17" s="29">
        <f>Data_Yearly!A17</f>
        <v>1960</v>
      </c>
      <c r="B17" s="18">
        <f>Data_Yearly!D17</f>
        <v>4</v>
      </c>
      <c r="C17" s="18">
        <f t="shared" si="0"/>
        <v>-43.245617032793234</v>
      </c>
      <c r="D17" s="18"/>
    </row>
    <row r="18" spans="1:7" x14ac:dyDescent="0.3">
      <c r="A18" s="29">
        <f>Data_Yearly!A18</f>
        <v>1961</v>
      </c>
      <c r="B18" s="18">
        <f>Data_Yearly!D18</f>
        <v>1</v>
      </c>
      <c r="C18" s="18">
        <f t="shared" si="0"/>
        <v>-36.374456195871971</v>
      </c>
      <c r="D18" s="18"/>
      <c r="F18" s="23" t="s">
        <v>85</v>
      </c>
    </row>
    <row r="19" spans="1:7" x14ac:dyDescent="0.3">
      <c r="A19" s="29">
        <f>Data_Yearly!A19</f>
        <v>1962</v>
      </c>
      <c r="B19" s="18">
        <f>Data_Yearly!D19</f>
        <v>3</v>
      </c>
      <c r="C19" s="18">
        <f t="shared" si="0"/>
        <v>-29.503295358950709</v>
      </c>
      <c r="D19" s="18"/>
      <c r="F19" s="15" t="s">
        <v>68</v>
      </c>
      <c r="G19" s="15" t="s">
        <v>86</v>
      </c>
    </row>
    <row r="20" spans="1:7" x14ac:dyDescent="0.3">
      <c r="A20" s="29">
        <f>Data_Yearly!A20</f>
        <v>1963</v>
      </c>
      <c r="B20" s="18">
        <f>Data_Yearly!D20</f>
        <v>2</v>
      </c>
      <c r="C20" s="18">
        <f t="shared" si="0"/>
        <v>-22.632134522031265</v>
      </c>
      <c r="D20" s="18"/>
      <c r="F20" s="29">
        <f>A79</f>
        <v>2022</v>
      </c>
      <c r="G20" s="34">
        <f>ROUND(C79,0)</f>
        <v>383</v>
      </c>
    </row>
    <row r="21" spans="1:7" x14ac:dyDescent="0.3">
      <c r="A21" s="29">
        <f>Data_Yearly!A21</f>
        <v>1964</v>
      </c>
      <c r="B21" s="18">
        <f>Data_Yearly!D21</f>
        <v>2</v>
      </c>
      <c r="C21" s="18">
        <f t="shared" si="0"/>
        <v>-15.760973685110002</v>
      </c>
      <c r="D21" s="18"/>
      <c r="F21" s="29">
        <f>A80</f>
        <v>2023</v>
      </c>
      <c r="G21" s="34">
        <f>ROUND(C80,0)</f>
        <v>390</v>
      </c>
    </row>
    <row r="22" spans="1:7" x14ac:dyDescent="0.3">
      <c r="A22" s="29">
        <f>Data_Yearly!A22</f>
        <v>1965</v>
      </c>
      <c r="B22" s="18">
        <f>Data_Yearly!D22</f>
        <v>2</v>
      </c>
      <c r="C22" s="18">
        <f t="shared" si="0"/>
        <v>-8.8898128481887397</v>
      </c>
      <c r="D22" s="18"/>
      <c r="F22" s="29">
        <f>A81</f>
        <v>2024</v>
      </c>
      <c r="G22" s="34">
        <f>ROUND(C81,0)</f>
        <v>397</v>
      </c>
    </row>
    <row r="23" spans="1:7" x14ac:dyDescent="0.3">
      <c r="A23" s="29">
        <f>Data_Yearly!A23</f>
        <v>1966</v>
      </c>
      <c r="B23" s="18">
        <f>Data_Yearly!D23</f>
        <v>1</v>
      </c>
      <c r="C23" s="18">
        <f t="shared" si="0"/>
        <v>-2.0186520112692961</v>
      </c>
      <c r="D23" s="18"/>
      <c r="F23" s="29">
        <f>A82</f>
        <v>2025</v>
      </c>
      <c r="G23" s="34">
        <f>ROUND(C82,0)</f>
        <v>403</v>
      </c>
    </row>
    <row r="24" spans="1:7" x14ac:dyDescent="0.3">
      <c r="A24" s="29">
        <f>Data_Yearly!A24</f>
        <v>1967</v>
      </c>
      <c r="B24" s="18">
        <f>Data_Yearly!D24</f>
        <v>5</v>
      </c>
      <c r="C24" s="18">
        <f t="shared" si="0"/>
        <v>4.8525088256519666</v>
      </c>
      <c r="D24" s="18"/>
      <c r="F24" s="29">
        <f>A83</f>
        <v>2026</v>
      </c>
      <c r="G24" s="34">
        <f>ROUND(C83,0)</f>
        <v>410</v>
      </c>
    </row>
    <row r="25" spans="1:7" x14ac:dyDescent="0.3">
      <c r="A25" s="29">
        <f>Data_Yearly!A25</f>
        <v>1968</v>
      </c>
      <c r="B25" s="18">
        <f>Data_Yearly!D25</f>
        <v>3</v>
      </c>
      <c r="C25" s="18">
        <f t="shared" si="0"/>
        <v>11.723669662573229</v>
      </c>
      <c r="D25" s="18"/>
    </row>
    <row r="26" spans="1:7" x14ac:dyDescent="0.3">
      <c r="A26" s="29">
        <f>Data_Yearly!A26</f>
        <v>1969</v>
      </c>
      <c r="B26" s="18">
        <f>Data_Yearly!D26</f>
        <v>2</v>
      </c>
      <c r="C26" s="18">
        <f t="shared" si="0"/>
        <v>18.594830499492673</v>
      </c>
      <c r="D26" s="18"/>
      <c r="F26" s="23"/>
    </row>
    <row r="27" spans="1:7" x14ac:dyDescent="0.3">
      <c r="A27" s="29">
        <f>Data_Yearly!A27</f>
        <v>1970</v>
      </c>
      <c r="B27" s="18">
        <f>Data_Yearly!D27</f>
        <v>2</v>
      </c>
      <c r="C27" s="18">
        <f t="shared" si="0"/>
        <v>25.465991336413936</v>
      </c>
      <c r="D27" s="18"/>
      <c r="F27" s="35"/>
    </row>
    <row r="28" spans="1:7" x14ac:dyDescent="0.3">
      <c r="A28" s="29">
        <f>Data_Yearly!A28</f>
        <v>1971</v>
      </c>
      <c r="B28" s="18">
        <f>Data_Yearly!D28</f>
        <v>5</v>
      </c>
      <c r="C28" s="18">
        <f t="shared" si="0"/>
        <v>32.337152173335198</v>
      </c>
      <c r="D28" s="18"/>
      <c r="F28" s="35"/>
    </row>
    <row r="29" spans="1:7" x14ac:dyDescent="0.3">
      <c r="A29" s="29">
        <f>Data_Yearly!A29</f>
        <v>1972</v>
      </c>
      <c r="B29" s="18">
        <f>Data_Yearly!D29</f>
        <v>5</v>
      </c>
      <c r="C29" s="18">
        <f t="shared" si="0"/>
        <v>39.208313010256461</v>
      </c>
      <c r="D29" s="18"/>
      <c r="F29" s="35"/>
    </row>
    <row r="30" spans="1:7" x14ac:dyDescent="0.3">
      <c r="A30" s="29">
        <f>Data_Yearly!A30</f>
        <v>1973</v>
      </c>
      <c r="B30" s="18">
        <f>Data_Yearly!D30</f>
        <v>10</v>
      </c>
      <c r="C30" s="18">
        <f t="shared" si="0"/>
        <v>46.079473847175905</v>
      </c>
      <c r="D30" s="18"/>
    </row>
    <row r="31" spans="1:7" x14ac:dyDescent="0.3">
      <c r="A31" s="29">
        <f>Data_Yearly!A31</f>
        <v>1974</v>
      </c>
      <c r="B31" s="18">
        <f>Data_Yearly!D31</f>
        <v>7</v>
      </c>
      <c r="C31" s="18">
        <f t="shared" si="0"/>
        <v>52.950634684097167</v>
      </c>
      <c r="D31" s="18"/>
    </row>
    <row r="32" spans="1:7" x14ac:dyDescent="0.3">
      <c r="A32" s="29">
        <f>Data_Yearly!A32</f>
        <v>1975</v>
      </c>
      <c r="B32" s="18">
        <f>Data_Yearly!D32</f>
        <v>7</v>
      </c>
      <c r="C32" s="18">
        <f t="shared" si="0"/>
        <v>59.82179552101843</v>
      </c>
      <c r="D32" s="18"/>
    </row>
    <row r="33" spans="1:4" x14ac:dyDescent="0.3">
      <c r="A33" s="29">
        <f>Data_Yearly!A33</f>
        <v>1976</v>
      </c>
      <c r="B33" s="18">
        <f>Data_Yearly!D33</f>
        <v>9</v>
      </c>
      <c r="C33" s="18">
        <f t="shared" si="0"/>
        <v>66.692956357937874</v>
      </c>
      <c r="D33" s="18"/>
    </row>
    <row r="34" spans="1:4" x14ac:dyDescent="0.3">
      <c r="A34" s="29">
        <f>Data_Yearly!A34</f>
        <v>1977</v>
      </c>
      <c r="B34" s="18">
        <f>Data_Yearly!D34</f>
        <v>7</v>
      </c>
      <c r="C34" s="18">
        <f t="shared" si="0"/>
        <v>73.564117194859136</v>
      </c>
      <c r="D34" s="18"/>
    </row>
    <row r="35" spans="1:4" x14ac:dyDescent="0.3">
      <c r="A35" s="29">
        <f>Data_Yearly!A35</f>
        <v>1978</v>
      </c>
      <c r="B35" s="18">
        <f>Data_Yearly!D35</f>
        <v>7</v>
      </c>
      <c r="C35" s="18">
        <f t="shared" si="0"/>
        <v>80.435278031780399</v>
      </c>
      <c r="D35" s="18"/>
    </row>
    <row r="36" spans="1:4" x14ac:dyDescent="0.3">
      <c r="A36" s="29">
        <f>Data_Yearly!A36</f>
        <v>1979</v>
      </c>
      <c r="B36" s="18">
        <f>Data_Yearly!D36</f>
        <v>11</v>
      </c>
      <c r="C36" s="18">
        <f t="shared" si="0"/>
        <v>87.306438868699843</v>
      </c>
      <c r="D36" s="18"/>
    </row>
    <row r="37" spans="1:4" x14ac:dyDescent="0.3">
      <c r="A37" s="29">
        <f>Data_Yearly!A37</f>
        <v>1980</v>
      </c>
      <c r="B37" s="18">
        <f>Data_Yearly!D37</f>
        <v>11</v>
      </c>
      <c r="C37" s="18">
        <f t="shared" ref="C37:C68" si="1">FORECAST(A37,$B$5:$B$78,$A$5:$A$78)</f>
        <v>94.177599705621105</v>
      </c>
      <c r="D37" s="18"/>
    </row>
    <row r="38" spans="1:4" x14ac:dyDescent="0.3">
      <c r="A38" s="29">
        <f>Data_Yearly!A38</f>
        <v>1981</v>
      </c>
      <c r="B38" s="18">
        <f>Data_Yearly!D38</f>
        <v>13</v>
      </c>
      <c r="C38" s="18">
        <f t="shared" si="1"/>
        <v>101.04876054254237</v>
      </c>
      <c r="D38" s="18"/>
    </row>
    <row r="39" spans="1:4" x14ac:dyDescent="0.3">
      <c r="A39" s="29">
        <f>Data_Yearly!A39</f>
        <v>1982</v>
      </c>
      <c r="B39" s="18">
        <f>Data_Yearly!D39</f>
        <v>17</v>
      </c>
      <c r="C39" s="18">
        <f t="shared" si="1"/>
        <v>107.91992137946363</v>
      </c>
      <c r="D39" s="18"/>
    </row>
    <row r="40" spans="1:4" x14ac:dyDescent="0.3">
      <c r="A40" s="29">
        <f>Data_Yearly!A40</f>
        <v>1983</v>
      </c>
      <c r="B40" s="18">
        <f>Data_Yearly!D40</f>
        <v>11</v>
      </c>
      <c r="C40" s="18">
        <f t="shared" si="1"/>
        <v>114.79108221638307</v>
      </c>
      <c r="D40" s="18"/>
    </row>
    <row r="41" spans="1:4" x14ac:dyDescent="0.3">
      <c r="A41" s="29">
        <f>Data_Yearly!A41</f>
        <v>1984</v>
      </c>
      <c r="B41" s="18">
        <f>Data_Yearly!D41</f>
        <v>12</v>
      </c>
      <c r="C41" s="18">
        <f t="shared" si="1"/>
        <v>121.66224305330434</v>
      </c>
      <c r="D41" s="18"/>
    </row>
    <row r="42" spans="1:4" x14ac:dyDescent="0.3">
      <c r="A42" s="29">
        <f>Data_Yearly!A42</f>
        <v>1985</v>
      </c>
      <c r="B42" s="18">
        <f>Data_Yearly!D42</f>
        <v>10</v>
      </c>
      <c r="C42" s="18">
        <f t="shared" si="1"/>
        <v>128.5334038902256</v>
      </c>
      <c r="D42" s="18"/>
    </row>
    <row r="43" spans="1:4" x14ac:dyDescent="0.3">
      <c r="A43" s="29">
        <f>Data_Yearly!A43</f>
        <v>1986</v>
      </c>
      <c r="B43" s="18">
        <f>Data_Yearly!D43</f>
        <v>13</v>
      </c>
      <c r="C43" s="18">
        <f t="shared" si="1"/>
        <v>135.40456472714504</v>
      </c>
      <c r="D43" s="18"/>
    </row>
    <row r="44" spans="1:4" x14ac:dyDescent="0.3">
      <c r="A44" s="29">
        <f>Data_Yearly!A44</f>
        <v>1987</v>
      </c>
      <c r="B44" s="18">
        <f>Data_Yearly!D44</f>
        <v>8</v>
      </c>
      <c r="C44" s="18">
        <f t="shared" si="1"/>
        <v>142.27572556406631</v>
      </c>
      <c r="D44" s="18"/>
    </row>
    <row r="45" spans="1:4" x14ac:dyDescent="0.3">
      <c r="A45" s="29">
        <f>Data_Yearly!A45</f>
        <v>1988</v>
      </c>
      <c r="B45" s="18">
        <f>Data_Yearly!D45</f>
        <v>18</v>
      </c>
      <c r="C45" s="18">
        <f t="shared" si="1"/>
        <v>149.14688640098757</v>
      </c>
      <c r="D45" s="18"/>
    </row>
    <row r="46" spans="1:4" x14ac:dyDescent="0.3">
      <c r="A46" s="29">
        <f>Data_Yearly!A46</f>
        <v>1989</v>
      </c>
      <c r="B46" s="18">
        <f>Data_Yearly!D46</f>
        <v>16</v>
      </c>
      <c r="C46" s="18">
        <f t="shared" si="1"/>
        <v>156.01804723790883</v>
      </c>
      <c r="D46" s="18"/>
    </row>
    <row r="47" spans="1:4" x14ac:dyDescent="0.3">
      <c r="A47" s="29">
        <f>Data_Yearly!A47</f>
        <v>1990</v>
      </c>
      <c r="B47" s="18">
        <f>Data_Yearly!D47</f>
        <v>22</v>
      </c>
      <c r="C47" s="18">
        <f t="shared" si="1"/>
        <v>162.88920807482828</v>
      </c>
      <c r="D47" s="18"/>
    </row>
    <row r="48" spans="1:4" x14ac:dyDescent="0.3">
      <c r="A48" s="29">
        <f>Data_Yearly!A48</f>
        <v>1991</v>
      </c>
      <c r="B48" s="18">
        <f>Data_Yearly!D48</f>
        <v>17</v>
      </c>
      <c r="C48" s="18">
        <f t="shared" si="1"/>
        <v>169.76036891174954</v>
      </c>
      <c r="D48" s="18"/>
    </row>
    <row r="49" spans="1:4" x14ac:dyDescent="0.3">
      <c r="A49" s="29">
        <f>Data_Yearly!A49</f>
        <v>1992</v>
      </c>
      <c r="B49" s="18">
        <f>Data_Yearly!D49</f>
        <v>23</v>
      </c>
      <c r="C49" s="18">
        <f t="shared" si="1"/>
        <v>176.6315297486708</v>
      </c>
      <c r="D49" s="18"/>
    </row>
    <row r="50" spans="1:4" x14ac:dyDescent="0.3">
      <c r="A50" s="29">
        <f>Data_Yearly!A50</f>
        <v>1993</v>
      </c>
      <c r="B50" s="18">
        <f>Data_Yearly!D50</f>
        <v>28</v>
      </c>
      <c r="C50" s="18">
        <f t="shared" si="1"/>
        <v>183.50269058559024</v>
      </c>
      <c r="D50" s="18"/>
    </row>
    <row r="51" spans="1:4" x14ac:dyDescent="0.3">
      <c r="A51" s="29">
        <f>Data_Yearly!A51</f>
        <v>1994</v>
      </c>
      <c r="B51" s="18">
        <f>Data_Yearly!D51</f>
        <v>22</v>
      </c>
      <c r="C51" s="18">
        <f t="shared" si="1"/>
        <v>190.37385142251151</v>
      </c>
      <c r="D51" s="18"/>
    </row>
    <row r="52" spans="1:4" x14ac:dyDescent="0.3">
      <c r="A52" s="29">
        <f>Data_Yearly!A52</f>
        <v>1995</v>
      </c>
      <c r="B52" s="18">
        <f>Data_Yearly!D52</f>
        <v>25</v>
      </c>
      <c r="C52" s="18">
        <f t="shared" si="1"/>
        <v>197.24501225943277</v>
      </c>
      <c r="D52" s="18"/>
    </row>
    <row r="53" spans="1:4" x14ac:dyDescent="0.3">
      <c r="A53" s="29">
        <f>Data_Yearly!A53</f>
        <v>1996</v>
      </c>
      <c r="B53" s="18">
        <f>Data_Yearly!D53</f>
        <v>24</v>
      </c>
      <c r="C53" s="18">
        <f t="shared" si="1"/>
        <v>204.11617309635221</v>
      </c>
      <c r="D53" s="18"/>
    </row>
    <row r="54" spans="1:4" x14ac:dyDescent="0.3">
      <c r="A54" s="29">
        <f>Data_Yearly!A54</f>
        <v>1997</v>
      </c>
      <c r="B54" s="18">
        <f>Data_Yearly!D54</f>
        <v>38</v>
      </c>
      <c r="C54" s="18">
        <f t="shared" si="1"/>
        <v>210.98733393327348</v>
      </c>
      <c r="D54" s="18"/>
    </row>
    <row r="55" spans="1:4" x14ac:dyDescent="0.3">
      <c r="A55" s="29">
        <f>Data_Yearly!A55</f>
        <v>1998</v>
      </c>
      <c r="B55" s="18">
        <f>Data_Yearly!D55</f>
        <v>36</v>
      </c>
      <c r="C55" s="18">
        <f t="shared" si="1"/>
        <v>217.85849477019474</v>
      </c>
      <c r="D55" s="18"/>
    </row>
    <row r="56" spans="1:4" x14ac:dyDescent="0.3">
      <c r="A56" s="29">
        <f>Data_Yearly!A56</f>
        <v>1999</v>
      </c>
      <c r="B56" s="18">
        <f>Data_Yearly!D56</f>
        <v>39</v>
      </c>
      <c r="C56" s="18">
        <f t="shared" si="1"/>
        <v>224.729655607116</v>
      </c>
      <c r="D56" s="18"/>
    </row>
    <row r="57" spans="1:4" x14ac:dyDescent="0.3">
      <c r="A57" s="29">
        <f>Data_Yearly!A57</f>
        <v>2000</v>
      </c>
      <c r="B57" s="18">
        <f>Data_Yearly!D57</f>
        <v>37</v>
      </c>
      <c r="C57" s="18">
        <f t="shared" si="1"/>
        <v>231.60081644403544</v>
      </c>
      <c r="D57" s="18"/>
    </row>
    <row r="58" spans="1:4" x14ac:dyDescent="0.3">
      <c r="A58" s="29">
        <f>Data_Yearly!A58</f>
        <v>2001</v>
      </c>
      <c r="B58" s="18">
        <f>Data_Yearly!D58</f>
        <v>45</v>
      </c>
      <c r="C58" s="18">
        <f t="shared" si="1"/>
        <v>238.47197728095671</v>
      </c>
      <c r="D58" s="18"/>
    </row>
    <row r="59" spans="1:4" x14ac:dyDescent="0.3">
      <c r="A59" s="29">
        <f>Data_Yearly!A59</f>
        <v>2002</v>
      </c>
      <c r="B59" s="18">
        <f>Data_Yearly!D59</f>
        <v>51</v>
      </c>
      <c r="C59" s="18">
        <f t="shared" si="1"/>
        <v>245.34313811787797</v>
      </c>
      <c r="D59" s="18"/>
    </row>
    <row r="60" spans="1:4" x14ac:dyDescent="0.3">
      <c r="A60" s="29">
        <f>Data_Yearly!A60</f>
        <v>2003</v>
      </c>
      <c r="B60" s="18">
        <f>Data_Yearly!D60</f>
        <v>59</v>
      </c>
      <c r="C60" s="18">
        <f t="shared" si="1"/>
        <v>252.21429895479741</v>
      </c>
      <c r="D60" s="18"/>
    </row>
    <row r="61" spans="1:4" x14ac:dyDescent="0.3">
      <c r="A61" s="29">
        <f>Data_Yearly!A61</f>
        <v>2004</v>
      </c>
      <c r="B61" s="18">
        <f>Data_Yearly!D61</f>
        <v>64</v>
      </c>
      <c r="C61" s="18">
        <f t="shared" si="1"/>
        <v>259.08545979171868</v>
      </c>
      <c r="D61" s="18"/>
    </row>
    <row r="62" spans="1:4" x14ac:dyDescent="0.3">
      <c r="A62" s="29">
        <f>Data_Yearly!A62</f>
        <v>2005</v>
      </c>
      <c r="B62" s="18">
        <f>Data_Yearly!D62</f>
        <v>80</v>
      </c>
      <c r="C62" s="18">
        <f t="shared" si="1"/>
        <v>265.95662062863994</v>
      </c>
      <c r="D62" s="18"/>
    </row>
    <row r="63" spans="1:4" x14ac:dyDescent="0.3">
      <c r="A63" s="29">
        <f>Data_Yearly!A63</f>
        <v>2006</v>
      </c>
      <c r="B63" s="18">
        <f>Data_Yearly!D63</f>
        <v>96</v>
      </c>
      <c r="C63" s="18">
        <f t="shared" si="1"/>
        <v>272.82778146555938</v>
      </c>
      <c r="D63" s="18"/>
    </row>
    <row r="64" spans="1:4" x14ac:dyDescent="0.3">
      <c r="A64" s="29">
        <f>Data_Yearly!A64</f>
        <v>2007</v>
      </c>
      <c r="B64" s="18">
        <f>Data_Yearly!D64</f>
        <v>88</v>
      </c>
      <c r="C64" s="18">
        <f t="shared" si="1"/>
        <v>279.69894230248065</v>
      </c>
      <c r="D64" s="18">
        <f t="shared" ref="D64:D78" si="2">$G$9*A64+$G$10</f>
        <v>41.401180616656575</v>
      </c>
    </row>
    <row r="65" spans="1:4" x14ac:dyDescent="0.3">
      <c r="A65" s="29">
        <f>Data_Yearly!A65</f>
        <v>2008</v>
      </c>
      <c r="B65" s="18">
        <f>Data_Yearly!D65</f>
        <v>135</v>
      </c>
      <c r="C65" s="18">
        <f t="shared" si="1"/>
        <v>286.57010313940191</v>
      </c>
      <c r="D65" s="18">
        <f t="shared" si="2"/>
        <v>42.209488373121758</v>
      </c>
    </row>
    <row r="66" spans="1:4" x14ac:dyDescent="0.3">
      <c r="A66" s="29">
        <f>Data_Yearly!A66</f>
        <v>2009</v>
      </c>
      <c r="B66" s="18">
        <f>Data_Yearly!D66</f>
        <v>152</v>
      </c>
      <c r="C66" s="18">
        <f t="shared" si="1"/>
        <v>293.44126397632317</v>
      </c>
      <c r="D66" s="18">
        <f t="shared" si="2"/>
        <v>43.017796129586714</v>
      </c>
    </row>
    <row r="67" spans="1:4" x14ac:dyDescent="0.3">
      <c r="A67" s="29">
        <f>Data_Yearly!A67</f>
        <v>2010</v>
      </c>
      <c r="B67" s="18">
        <f>Data_Yearly!D67</f>
        <v>192</v>
      </c>
      <c r="C67" s="18">
        <f t="shared" si="1"/>
        <v>300.31242481324261</v>
      </c>
      <c r="D67" s="18">
        <f t="shared" si="2"/>
        <v>43.826103886051669</v>
      </c>
    </row>
    <row r="68" spans="1:4" x14ac:dyDescent="0.3">
      <c r="A68" s="29">
        <f>Data_Yearly!A68</f>
        <v>2011</v>
      </c>
      <c r="B68" s="18">
        <f>Data_Yearly!D68</f>
        <v>185</v>
      </c>
      <c r="C68" s="18">
        <f t="shared" si="1"/>
        <v>307.18358565016388</v>
      </c>
      <c r="D68" s="18">
        <f t="shared" si="2"/>
        <v>44.634411642516852</v>
      </c>
    </row>
    <row r="69" spans="1:4" x14ac:dyDescent="0.3">
      <c r="A69" s="29">
        <f>Data_Yearly!A69</f>
        <v>2012</v>
      </c>
      <c r="B69" s="18">
        <f>Data_Yearly!D69</f>
        <v>236</v>
      </c>
      <c r="C69" s="18">
        <f t="shared" ref="C69:C83" si="3">FORECAST(A69,$B$5:$B$78,$A$5:$A$78)</f>
        <v>314.05474648708514</v>
      </c>
      <c r="D69" s="18">
        <f t="shared" si="2"/>
        <v>45.442719398981808</v>
      </c>
    </row>
    <row r="70" spans="1:4" x14ac:dyDescent="0.3">
      <c r="A70" s="29">
        <f>Data_Yearly!A70</f>
        <v>2013</v>
      </c>
      <c r="B70" s="18">
        <f>Data_Yearly!D70</f>
        <v>286</v>
      </c>
      <c r="C70" s="18">
        <f t="shared" si="3"/>
        <v>320.92590732400458</v>
      </c>
      <c r="D70" s="18">
        <f t="shared" si="2"/>
        <v>46.251027155446764</v>
      </c>
    </row>
    <row r="71" spans="1:4" x14ac:dyDescent="0.3">
      <c r="A71" s="29">
        <f>Data_Yearly!A71</f>
        <v>2014</v>
      </c>
      <c r="B71" s="18">
        <f>Data_Yearly!D71</f>
        <v>352</v>
      </c>
      <c r="C71" s="18">
        <f t="shared" si="3"/>
        <v>327.79706816092585</v>
      </c>
      <c r="D71" s="18">
        <f t="shared" si="2"/>
        <v>47.059334911911947</v>
      </c>
    </row>
    <row r="72" spans="1:4" x14ac:dyDescent="0.3">
      <c r="A72" s="29">
        <f>Data_Yearly!A72</f>
        <v>2015</v>
      </c>
      <c r="B72" s="18">
        <f>Data_Yearly!D72</f>
        <v>555</v>
      </c>
      <c r="C72" s="18">
        <f t="shared" si="3"/>
        <v>334.66822899784711</v>
      </c>
      <c r="D72" s="18">
        <f t="shared" si="2"/>
        <v>47.867642668376902</v>
      </c>
    </row>
    <row r="73" spans="1:4" x14ac:dyDescent="0.3">
      <c r="A73" s="29">
        <f>Data_Yearly!A73</f>
        <v>2016</v>
      </c>
      <c r="B73" s="18">
        <f>Data_Yearly!D73</f>
        <v>901</v>
      </c>
      <c r="C73" s="18">
        <f t="shared" si="3"/>
        <v>341.53938983476837</v>
      </c>
      <c r="D73" s="18">
        <f t="shared" si="2"/>
        <v>48.675950424841858</v>
      </c>
    </row>
    <row r="74" spans="1:4" x14ac:dyDescent="0.3">
      <c r="A74" s="29">
        <f>Data_Yearly!A74</f>
        <v>2017</v>
      </c>
      <c r="B74" s="18">
        <f>Data_Yearly!D74</f>
        <v>1030</v>
      </c>
      <c r="C74" s="18">
        <f t="shared" si="3"/>
        <v>348.41055067168782</v>
      </c>
      <c r="D74" s="18">
        <f t="shared" si="2"/>
        <v>49.484258181307041</v>
      </c>
    </row>
    <row r="75" spans="1:4" x14ac:dyDescent="0.3">
      <c r="A75" s="29">
        <f>Data_Yearly!A75</f>
        <v>2018</v>
      </c>
      <c r="B75" s="18">
        <f>Data_Yearly!D75</f>
        <v>1146</v>
      </c>
      <c r="C75" s="18">
        <f t="shared" si="3"/>
        <v>355.28171150860908</v>
      </c>
      <c r="D75" s="18">
        <f t="shared" si="2"/>
        <v>50.292565937771997</v>
      </c>
    </row>
    <row r="76" spans="1:4" x14ac:dyDescent="0.3">
      <c r="A76" s="29">
        <f>Data_Yearly!A76</f>
        <v>2019</v>
      </c>
      <c r="B76" s="18">
        <f>Data_Yearly!D76</f>
        <v>1030</v>
      </c>
      <c r="C76" s="18">
        <f t="shared" si="3"/>
        <v>362.15287234553034</v>
      </c>
      <c r="D76" s="18">
        <f t="shared" si="2"/>
        <v>51.10087369423718</v>
      </c>
    </row>
    <row r="77" spans="1:4" x14ac:dyDescent="0.3">
      <c r="A77" s="29">
        <f>Data_Yearly!A77</f>
        <v>2020</v>
      </c>
      <c r="B77" s="18">
        <f>Data_Yearly!D77</f>
        <v>953</v>
      </c>
      <c r="C77" s="18">
        <f t="shared" si="3"/>
        <v>369.02403318244978</v>
      </c>
      <c r="D77" s="18">
        <f t="shared" si="2"/>
        <v>51.909181450702135</v>
      </c>
    </row>
    <row r="78" spans="1:4" x14ac:dyDescent="0.3">
      <c r="A78" s="29">
        <f>Data_Yearly!A78</f>
        <v>2021</v>
      </c>
      <c r="B78" s="18">
        <f>Data_Yearly!D78</f>
        <v>592</v>
      </c>
      <c r="C78" s="18">
        <f t="shared" si="3"/>
        <v>375.89519401937105</v>
      </c>
      <c r="D78" s="18">
        <f t="shared" si="2"/>
        <v>52.717489207167091</v>
      </c>
    </row>
    <row r="79" spans="1:4" x14ac:dyDescent="0.3">
      <c r="A79" s="36">
        <f>A78+1</f>
        <v>2022</v>
      </c>
      <c r="B79" s="37"/>
      <c r="C79" s="38">
        <f t="shared" si="3"/>
        <v>382.76635485629231</v>
      </c>
      <c r="D79" s="37"/>
    </row>
    <row r="80" spans="1:4" x14ac:dyDescent="0.3">
      <c r="A80" s="36">
        <f>A79+1</f>
        <v>2023</v>
      </c>
      <c r="B80" s="37"/>
      <c r="C80" s="38">
        <f t="shared" si="3"/>
        <v>389.63751569321175</v>
      </c>
      <c r="D80" s="37"/>
    </row>
    <row r="81" spans="1:4" x14ac:dyDescent="0.3">
      <c r="A81" s="36">
        <f>A80+1</f>
        <v>2024</v>
      </c>
      <c r="B81" s="37"/>
      <c r="C81" s="38">
        <f t="shared" si="3"/>
        <v>396.50867653013302</v>
      </c>
      <c r="D81" s="37"/>
    </row>
    <row r="82" spans="1:4" x14ac:dyDescent="0.3">
      <c r="A82" s="36">
        <f>A81+1</f>
        <v>2025</v>
      </c>
      <c r="B82" s="37"/>
      <c r="C82" s="38">
        <f t="shared" si="3"/>
        <v>403.37983736705428</v>
      </c>
      <c r="D82" s="37"/>
    </row>
    <row r="83" spans="1:4" x14ac:dyDescent="0.3">
      <c r="A83" s="36">
        <f>A82+1</f>
        <v>2026</v>
      </c>
      <c r="B83" s="37"/>
      <c r="C83" s="38">
        <f t="shared" si="3"/>
        <v>410.25099820397554</v>
      </c>
      <c r="D83" s="3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Data_Yearly</vt:lpstr>
      <vt:lpstr>Data_Summary</vt:lpstr>
      <vt:lpstr>Forecast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Yaksh Patel</cp:lastModifiedBy>
  <cp:revision>1</cp:revision>
  <dcterms:created xsi:type="dcterms:W3CDTF">2026-10-07T06:21:33Z</dcterms:created>
  <dcterms:modified xsi:type="dcterms:W3CDTF">2026-10-07T06:38:03Z</dcterms:modified>
  <dc:language>en-US</dc:language>
</cp:coreProperties>
</file>